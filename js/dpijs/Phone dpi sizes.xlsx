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e\Downloads\EBRA Stuff\Website Files\_\solarsystem\js\dpijs\"/>
    </mc:Choice>
  </mc:AlternateContent>
  <xr:revisionPtr revIDLastSave="0" documentId="13_ncr:1_{CE46BEB1-BBE8-45C6-87F6-5814892B74F8}" xr6:coauthVersionLast="47" xr6:coauthVersionMax="47" xr10:uidLastSave="{00000000-0000-0000-0000-000000000000}"/>
  <bookViews>
    <workbookView xWindow="-120" yWindow="-120" windowWidth="29040" windowHeight="15840" activeTab="1" xr2:uid="{BF02B951-D793-408B-B7EB-9B5CEA17C78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2" i="2"/>
  <c r="L95" i="2"/>
  <c r="L91" i="2"/>
  <c r="L87" i="2"/>
  <c r="L83" i="2"/>
  <c r="L79" i="2"/>
  <c r="L75" i="2"/>
  <c r="L71" i="2"/>
  <c r="L67" i="2"/>
  <c r="L63" i="2"/>
  <c r="L59" i="2"/>
  <c r="L55" i="2"/>
  <c r="L51" i="2"/>
  <c r="L47" i="2"/>
  <c r="L43" i="2"/>
  <c r="L39" i="2"/>
  <c r="L35" i="2"/>
  <c r="L31" i="2"/>
  <c r="L27" i="2"/>
  <c r="L23" i="2"/>
  <c r="L19" i="2"/>
  <c r="L15" i="2"/>
  <c r="L11" i="2"/>
  <c r="L7" i="2"/>
  <c r="L3" i="2"/>
  <c r="L4" i="2"/>
  <c r="L5" i="2"/>
  <c r="L6" i="2"/>
  <c r="L8" i="2"/>
  <c r="L9" i="2"/>
  <c r="L10" i="2"/>
  <c r="L12" i="2"/>
  <c r="L13" i="2"/>
  <c r="L14" i="2"/>
  <c r="L16" i="2"/>
  <c r="L17" i="2"/>
  <c r="L18" i="2"/>
  <c r="L20" i="2"/>
  <c r="L21" i="2"/>
  <c r="L22" i="2"/>
  <c r="L24" i="2"/>
  <c r="L25" i="2"/>
  <c r="L26" i="2"/>
  <c r="L28" i="2"/>
  <c r="L29" i="2"/>
  <c r="L30" i="2"/>
  <c r="L32" i="2"/>
  <c r="L33" i="2"/>
  <c r="L34" i="2"/>
  <c r="L36" i="2"/>
  <c r="L37" i="2"/>
  <c r="L38" i="2"/>
  <c r="L40" i="2"/>
  <c r="L41" i="2"/>
  <c r="L42" i="2"/>
  <c r="L44" i="2"/>
  <c r="L45" i="2"/>
  <c r="L46" i="2"/>
  <c r="L48" i="2"/>
  <c r="L49" i="2"/>
  <c r="L50" i="2"/>
  <c r="L52" i="2"/>
  <c r="L53" i="2"/>
  <c r="L54" i="2"/>
  <c r="L56" i="2"/>
  <c r="L57" i="2"/>
  <c r="L58" i="2"/>
  <c r="L60" i="2"/>
  <c r="L61" i="2"/>
  <c r="L62" i="2"/>
  <c r="L64" i="2"/>
  <c r="L65" i="2"/>
  <c r="L66" i="2"/>
  <c r="L68" i="2"/>
  <c r="L69" i="2"/>
  <c r="L70" i="2"/>
  <c r="L72" i="2"/>
  <c r="L73" i="2"/>
  <c r="L74" i="2"/>
  <c r="L76" i="2"/>
  <c r="L77" i="2"/>
  <c r="L78" i="2"/>
  <c r="L80" i="2"/>
  <c r="L81" i="2"/>
  <c r="L82" i="2"/>
  <c r="L84" i="2"/>
  <c r="L85" i="2"/>
  <c r="L86" i="2"/>
  <c r="L88" i="2"/>
  <c r="L89" i="2"/>
  <c r="L90" i="2"/>
  <c r="L92" i="2"/>
  <c r="L93" i="2"/>
  <c r="L94" i="2"/>
  <c r="L96" i="2"/>
  <c r="L97" i="2"/>
  <c r="L2" i="2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3" i="1"/>
</calcChain>
</file>

<file path=xl/sharedStrings.xml><?xml version="1.0" encoding="utf-8"?>
<sst xmlns="http://schemas.openxmlformats.org/spreadsheetml/2006/main" count="901" uniqueCount="751">
  <si>
    <t>iPhone 16 Pro Max</t>
  </si>
  <si>
    <t>6.9"</t>
  </si>
  <si>
    <t>iPhone 16 Pro</t>
  </si>
  <si>
    <t>6.3"</t>
  </si>
  <si>
    <t>iPhone 16 Plus</t>
  </si>
  <si>
    <t>6.7"</t>
  </si>
  <si>
    <t>iPhone 16</t>
  </si>
  <si>
    <t>6.1"</t>
  </si>
  <si>
    <t>iPhone 15 Pro Max</t>
  </si>
  <si>
    <t>iPhone 15 Pro</t>
  </si>
  <si>
    <t>iPhone 15 Plus</t>
  </si>
  <si>
    <t>iPhone 15</t>
  </si>
  <si>
    <t>Apple Watch Ultra 2</t>
  </si>
  <si>
    <t>1.919"</t>
  </si>
  <si>
    <t>Apple Watch Series 9 Large</t>
  </si>
  <si>
    <t>1.901"</t>
  </si>
  <si>
    <t>Apple Watch Series 9 Small</t>
  </si>
  <si>
    <t>1.691"</t>
  </si>
  <si>
    <t>iPad Pro (6th gen 12.9")</t>
  </si>
  <si>
    <t>12.9"</t>
  </si>
  <si>
    <t>iPad Pro (6th gen 11")</t>
  </si>
  <si>
    <t>11"</t>
  </si>
  <si>
    <t>iPad 10th gen</t>
  </si>
  <si>
    <t>10.9"</t>
  </si>
  <si>
    <t>iPhone 14 Plus</t>
  </si>
  <si>
    <t>Apple Watch Ultra</t>
  </si>
  <si>
    <t>iPhone 14 Pro Max</t>
  </si>
  <si>
    <t>iPhone 14 Pro</t>
  </si>
  <si>
    <t>iPhone 14</t>
  </si>
  <si>
    <t>Apple Watch Series 8 Large</t>
  </si>
  <si>
    <t>Apple Watch Series 8 Small</t>
  </si>
  <si>
    <t>Apple Watch SE (2nd) Large</t>
  </si>
  <si>
    <t>1.757"</t>
  </si>
  <si>
    <t>Apple Watch SE (2nd) Small</t>
  </si>
  <si>
    <t>1.549"</t>
  </si>
  <si>
    <t>iPhone SE 3rd gen</t>
  </si>
  <si>
    <t>4.7"</t>
  </si>
  <si>
    <t>iPad Air (5th gen)</t>
  </si>
  <si>
    <t>Apple Watch Series 7 Large</t>
  </si>
  <si>
    <t>Apple Watch Series 7 Small</t>
  </si>
  <si>
    <t>iPad Mini (6th gen)</t>
  </si>
  <si>
    <t>8.3"</t>
  </si>
  <si>
    <t>iPhone 13</t>
  </si>
  <si>
    <t>6.06"</t>
  </si>
  <si>
    <t>iPhone 13 mini</t>
  </si>
  <si>
    <t>5.42"</t>
  </si>
  <si>
    <t>iPhone 13 Pro Max</t>
  </si>
  <si>
    <t>6.68"</t>
  </si>
  <si>
    <t>iPhone 13 Pro</t>
  </si>
  <si>
    <t>iPad 9th gen</t>
  </si>
  <si>
    <t>10.2"</t>
  </si>
  <si>
    <t>iPad Pro (5th gen 12.9")</t>
  </si>
  <si>
    <t>iPad Pro (5th gen 11")</t>
  </si>
  <si>
    <t>iPad Air (4th gen)</t>
  </si>
  <si>
    <t>iPhone 12</t>
  </si>
  <si>
    <t>iPhone 12 mini</t>
  </si>
  <si>
    <t>iPhone 12 Pro Max</t>
  </si>
  <si>
    <t>iPhone 12 Pro</t>
  </si>
  <si>
    <t>iPad 8th gen</t>
  </si>
  <si>
    <t>Family &amp; Model </t>
  </si>
  <si>
    <t>Logical Width</t>
  </si>
  <si>
    <t>Logical Height</t>
  </si>
  <si>
    <t>Physical Width</t>
  </si>
  <si>
    <t>Physical Height</t>
  </si>
  <si>
    <t>PPI</t>
  </si>
  <si>
    <t>Scale Factor</t>
  </si>
  <si>
    <t>Screen Diagonal</t>
  </si>
  <si>
    <t>Apple Watch Series 6 Large</t>
  </si>
  <si>
    <t>Apple Watch Series 6 Small</t>
  </si>
  <si>
    <t>Apple Watch SE (1st) Large</t>
  </si>
  <si>
    <t>Apple Watch SE (1st) Small</t>
  </si>
  <si>
    <t>iPhone SE 2nd gen</t>
  </si>
  <si>
    <t>iPad Pro (4th gen 12.9")</t>
  </si>
  <si>
    <t>iPad Pro (4th gen 11")</t>
  </si>
  <si>
    <t>iPad 7th gen</t>
  </si>
  <si>
    <t>iPhone 11 Pro Max</t>
  </si>
  <si>
    <t>6.46"</t>
  </si>
  <si>
    <t>iPhone 11 Pro</t>
  </si>
  <si>
    <t>5.85"</t>
  </si>
  <si>
    <t>iPhone 11</t>
  </si>
  <si>
    <t>Apple Watch Series 5 Large</t>
  </si>
  <si>
    <t>Apple Watch Series 5 Small</t>
  </si>
  <si>
    <t>iPod touch 7th gen</t>
  </si>
  <si>
    <t>4"</t>
  </si>
  <si>
    <t>iPad Mini (5th gen)</t>
  </si>
  <si>
    <t>7.9"</t>
  </si>
  <si>
    <t>iPad Air (3rd gen)</t>
  </si>
  <si>
    <t>10.5"</t>
  </si>
  <si>
    <t>iPad Pro (3rd gen 12.9")</t>
  </si>
  <si>
    <t>iPad Pro (3rd gen 11")</t>
  </si>
  <si>
    <t>iPhone XR</t>
  </si>
  <si>
    <t>iPhone XS Max</t>
  </si>
  <si>
    <t>iPhone XS</t>
  </si>
  <si>
    <t>Apple Watch Series 4 Large</t>
  </si>
  <si>
    <t>Apple Watch Series 4 Small</t>
  </si>
  <si>
    <t>iPad 6th gen</t>
  </si>
  <si>
    <t>9.7"</t>
  </si>
  <si>
    <t>iPhone X</t>
  </si>
  <si>
    <t>iPhone 8 Plus</t>
  </si>
  <si>
    <t>5.5"</t>
  </si>
  <si>
    <t>iPhone 8</t>
  </si>
  <si>
    <t>Apple Watch Series 3 Large</t>
  </si>
  <si>
    <t>1.337"</t>
  </si>
  <si>
    <t>Apple Watch Series 3 Small</t>
  </si>
  <si>
    <t>iPad Pro (2nd gen 12.9")</t>
  </si>
  <si>
    <t>iPad Pro (2nd gen 10.5")</t>
  </si>
  <si>
    <t>iPad 5th gen</t>
  </si>
  <si>
    <t>iPhone 7 Plus</t>
  </si>
  <si>
    <t>iPhone 7</t>
  </si>
  <si>
    <t>Apple Watch Series 2 Large</t>
  </si>
  <si>
    <t>Apple Watch Series 2 Small</t>
  </si>
  <si>
    <t>Apple Watch Series 1 Large</t>
  </si>
  <si>
    <t>Apple Watch Series 1 Small</t>
  </si>
  <si>
    <t>iPhone SE 1st gen</t>
  </si>
  <si>
    <t>iPad Pro (1st gen 9.7”)</t>
  </si>
  <si>
    <t>iPad Pro (1st gen 12.9")</t>
  </si>
  <si>
    <t>iPhone 6s Plus</t>
  </si>
  <si>
    <t>iPhone 6s</t>
  </si>
  <si>
    <t>iPad mini 4</t>
  </si>
  <si>
    <t>iPod touch 6th gen</t>
  </si>
  <si>
    <t>Apple Watch 1st (Series 0) Large</t>
  </si>
  <si>
    <t>Apple Watch 1st (Series 0) Small</t>
  </si>
  <si>
    <t>iPad Air 2</t>
  </si>
  <si>
    <t>iPad mini 3</t>
  </si>
  <si>
    <t>iPhone 6 Plus</t>
  </si>
  <si>
    <t>iPhone 6</t>
  </si>
  <si>
    <t>iPad mini 2</t>
  </si>
  <si>
    <t>iPad Air</t>
  </si>
  <si>
    <t>iPhone 5C</t>
  </si>
  <si>
    <t>iPhone 5S</t>
  </si>
  <si>
    <t>iPad 4th gen</t>
  </si>
  <si>
    <t>iPad mini</t>
  </si>
  <si>
    <t>iPod touch 5th gen</t>
  </si>
  <si>
    <t>iPhone 5</t>
  </si>
  <si>
    <t>iPad 3rd gen</t>
  </si>
  <si>
    <t>iPhone 4S</t>
  </si>
  <si>
    <t>3.5"</t>
  </si>
  <si>
    <t>iPad 2</t>
  </si>
  <si>
    <t>iPod touch 4th gen</t>
  </si>
  <si>
    <t>iPhone 4</t>
  </si>
  <si>
    <t>iPad 1st gen</t>
  </si>
  <si>
    <t>iPod touch 3rd gen</t>
  </si>
  <si>
    <t>iPhone 3GS</t>
  </si>
  <si>
    <t>iPod touch 2nd gen</t>
  </si>
  <si>
    <t>iPhone 3G</t>
  </si>
  <si>
    <t>iPod touch 1st gen</t>
  </si>
  <si>
    <t>iPhone 1st gen</t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</si>
  <si>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"SM-G998"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515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S21 Ultra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</si>
  <si>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"SM-A525"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A52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</si>
  <si>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"SM-A325"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A32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</si>
  <si>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"SM-F926"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374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Z Fold3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</si>
  <si>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"SM-F711"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426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Z Flip3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</si>
  <si>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"SM-G991"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421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S21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</si>
  <si>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"SM-A725"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A72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</si>
  <si>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"SM-A225"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A22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</si>
  <si>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"SM-A326"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A32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</si>
  <si>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"SM-A526"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A52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</si>
  <si>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"SM-A226"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A22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</si>
  <si>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"SM-A035"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A03s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</si>
  <si>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"SM-G996"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S21+ 5G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</si>
  <si>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"SM-M325"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M32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</si>
  <si>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"SM-A022"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A02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</si>
  <si>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"SM-M127"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M12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</si>
  <si>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"SM-M215"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M21 2021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</si>
  <si>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"SM-E625"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F62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</si>
  <si>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"SM-E225"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F22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</si>
  <si>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"SM-M625"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M62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</si>
  <si>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"SM-A127"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A12 Nacho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</si>
  <si>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"SM-M426"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M42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</si>
  <si>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"SM-M025"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M02s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</si>
  <si>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"SM-E526"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F52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</si>
  <si>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"SM-A826"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Quantum 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</si>
  <si>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"SM-M022"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M02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</si>
  <si>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"SM-G525"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Xcover 5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</si>
  <si>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"SM-F127"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F12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</si>
  <si>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"SM-M326"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M32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</si>
  <si>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"SM-E025"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F02s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</si>
  <si>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"SM-A125"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A12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</si>
  <si>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"SM-G781"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S20 FE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</si>
  <si>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"SM-A217"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A21s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</si>
  <si>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"SM-N986"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496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Note20 Ultra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</si>
  <si>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"SM-A025"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A02s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</si>
  <si>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"SM-G780"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S20 FE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</si>
  <si>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"SM-G980"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563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</si>
  <si>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"SM-M515"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M51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</si>
  <si>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"SM-A115"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A11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</si>
  <si>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"SM-G988"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S20 Ultra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</si>
  <si>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"SM-M315"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M31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</si>
  <si>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"SM-A315"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A31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</si>
  <si>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"SM-A215"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A21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</si>
  <si>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"SM-N980"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Note20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</si>
  <si>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"SM-G985"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525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S20+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</si>
  <si>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"SM-M115"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M11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</si>
  <si>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"SM-A426"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A42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</si>
  <si>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"SM-M317"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M31s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</si>
  <si>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"SM-M215"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M21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</si>
  <si>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"SM-N985"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496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Note20 Ultra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</si>
  <si>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"SM-A013"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A01 Core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</si>
  <si>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"SM-N770"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Note10 Lite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</si>
  <si>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"SM-F916"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373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Z Fold2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</si>
  <si>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"SM-G981"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563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S20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</si>
  <si>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"SM-F700"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425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Z Flip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</si>
  <si>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"SM-A415"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431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A41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</si>
  <si>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"SM-G988"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S20 Ultra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</si>
  <si>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"SM-A516"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A51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</si>
  <si>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"SM-G986"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525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S20+ 5G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</si>
  <si>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"SM-G770"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S10 Lite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</si>
  <si>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"SM-N981"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Note20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</si>
  <si>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"SM-A716"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A71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</si>
  <si>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"SM-F415"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F41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</si>
  <si>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"SM-F707"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425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Z Flip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</si>
  <si>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"SM-M015"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M01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</si>
  <si>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"SM-G715"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Xcover Pro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</si>
  <si>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"SM-M013"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M01 Core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</si>
  <si>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"SM-F415"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M21s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</si>
  <si>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"SM-M315"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M31 Prime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</si>
  <si>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"SM-M017"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M01s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</si>
  <si>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"SM-A516V"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A51 5G UW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</si>
  <si>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"SM-J260"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J2 Core (2020)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</si>
  <si>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"SM-G981V"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566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S20 5G UW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</si>
  <si>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"SM-A716"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 Quantum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</si>
  <si>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"SM-A515"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A51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</si>
  <si>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"SM-G973"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550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S10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</si>
  <si>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"SM-G975"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522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S10+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</si>
  <si>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"SM-A715"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A71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</si>
  <si>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"SM-N975"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498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Note10+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</si>
  <si>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"SM-A505"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A50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</si>
  <si>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"SM-G970"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438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S10e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</si>
  <si>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"SM-N970"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Note10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</si>
  <si>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"SM-A205"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A20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</si>
  <si>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"SM-A705"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A70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</si>
  <si>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"SM-A105"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A10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</si>
  <si>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"SM-A107"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A10s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</si>
  <si>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"SM-A305"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A30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</si>
  <si>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"SM-G977"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502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S10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</si>
  <si>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"SM-A207"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A20s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</si>
  <si>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"SM-A015"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A01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</si>
  <si>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"SM-A307"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A30s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</si>
  <si>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"SM-A507"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A50s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</si>
  <si>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"SM-A405"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437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A40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</si>
  <si>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"SM-A805"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A80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</si>
  <si>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"SM-M205"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M20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</si>
  <si>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"SM-N976"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498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 xml:space="preserve">//Samsung Galaxy Note10+ 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</si>
  <si>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"SM-A202"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A20e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</si>
  <si>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"SM-A260"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A2 Core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</si>
  <si>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"SM-A102"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A10e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</si>
  <si>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"SM-M307"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M30s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</si>
  <si>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"SM-A908"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A90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</si>
  <si>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"SM-F900"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362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Fold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</si>
  <si>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"SM-M305"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M30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</si>
  <si>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"SM-M105"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M10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</si>
  <si>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"SM-N971"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Note10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</si>
  <si>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"SM-A707"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A70s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</si>
  <si>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"SM-M405"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M40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</si>
  <si>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"SM-A606"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A60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</si>
  <si>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"SM-F907"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362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Fold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</si>
  <si>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"SM-G398"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Xcover 4s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</si>
  <si>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"SM-M107"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M10s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</si>
  <si>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"SM-G889"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576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Xcover FieldPro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</si>
  <si>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"SM-G960"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S9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</si>
  <si>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"SM-N960"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516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Note9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</si>
  <si>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"SM-G965"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529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S9+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</si>
  <si>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"SM-A750"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A7 (2018)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</si>
  <si>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"SM-J600"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J6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</si>
  <si>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"SM-J610"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J6+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</si>
  <si>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"SM-J415"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J4+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</si>
  <si>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"SM-A920"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A9 (2018)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</si>
  <si>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"SM-A600"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A6 (2018)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</si>
  <si>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"SM-J810"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J8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</si>
  <si>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"SM-A605"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A6+ (2018)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</si>
  <si>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"SM-J400"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J4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</si>
  <si>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"SM-J250"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J2 Pro (2018)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</si>
  <si>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"SM-J260"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J2 Core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</si>
  <si>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"SM-G611"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J7 Prime 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</si>
  <si>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"SM-J410"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J4 Core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</si>
  <si>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"SM-J737"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J7 (2018)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</si>
  <si>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"SM-J337"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J3 (2018)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</si>
  <si>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"SM-G885"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392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A8 Star (A9 Star)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</si>
  <si>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"SM-J720"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J7 Duo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</si>
  <si>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"SM-G887"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A8s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</si>
  <si>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"SM-G6200"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A6s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</si>
  <si>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"SM-G8750"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426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 Light Luxury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</si>
  <si>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"SM-N950"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521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Note8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</si>
  <si>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"SM-G955"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529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S8+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</si>
  <si>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"SM-J730"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J7 Pro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</si>
  <si>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"SM-A530"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441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A8 (2018)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</si>
  <si>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"SM-J530"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J5 (2017)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</si>
  <si>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"SM-A730"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411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A8+ (2018)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</si>
  <si>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"SM-J730"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J7 (2017)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</si>
  <si>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"SM-J701"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J7 Nxt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</si>
  <si>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"SM-G615"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386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J7 Max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</si>
  <si>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"SM-N935"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515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 FE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</si>
  <si>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"SM-G892"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568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S8 Active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</si>
  <si>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"SM-G390"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Xcover 4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</si>
  <si>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"SM-C710"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401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C7 (2017)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</si>
  <si>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A7 10.4 (2020)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</si>
  <si>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A7 10.4 (2020)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</si>
  <si>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A7 Lite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</si>
  <si>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"SM-T220"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A7 Lite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</si>
  <si>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"SM-T730"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243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S7 FE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</si>
  <si>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"SM-T736B"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243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S7 FE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</si>
  <si>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"SM-T870"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</si>
  <si>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"SM-T875"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</si>
  <si>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"SM-T876B"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</si>
  <si>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"SM-P610N"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S6 Lite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</si>
  <si>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"SM-P615"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S6 Lite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</si>
  <si>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"SM-P610"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S6 Lite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</si>
  <si>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"SM-T970"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S7+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</si>
  <si>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"SM-T976B"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S7+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</si>
  <si>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"SM-T290"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8.0 (2019)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</si>
  <si>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"SM-T295"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8.0 (2019)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</si>
  <si>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10.1 (2019)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</si>
  <si>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10.1 (2019)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</si>
  <si>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"SM-T860"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S6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</si>
  <si>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"SM-T865"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S6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</si>
  <si>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"SM-T580"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10.1 (2016)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</si>
  <si>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"SM-T585"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10.1 (2016)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</si>
  <si>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"SM-P580"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10.1 (2016)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</si>
  <si>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"SM-P585"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10.1 (2016)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</si>
  <si>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"SM-P585Y"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10.1 (2016)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</si>
  <si>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"SM-T280"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216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7.0 (2016)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</si>
  <si>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"SM-T285"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216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7.0 (2016)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</si>
  <si>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"SM-T560"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157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E 9.6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</si>
  <si>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"SM-T561"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157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E 9.6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</si>
  <si>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"SM-T560NU"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157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E 9.6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</si>
  <si>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S5e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</si>
  <si>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"SM-T720"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S5e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</si>
  <si>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</si>
  <si>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</si>
  <si>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"SM-T813N"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</si>
  <si>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"SM-T819N"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</si>
  <si>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"SM-T819"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</si>
  <si>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"SM-T813"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</si>
  <si>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"SM-T815Y"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</si>
  <si>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"SM-T819Y"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</si>
  <si>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"GT-P3200"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7.0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</si>
  <si>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"SM-T211"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7.0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</si>
  <si>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7.0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</si>
  <si>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"SM-T230"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216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4 7.0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</si>
  <si>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"SM-T235"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216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4 7.0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</si>
  <si>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"SM-T230NU"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216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4 7.0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</si>
  <si>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</si>
  <si>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</si>
  <si>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"SM-T719N"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</si>
  <si>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"SM-T719"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</si>
  <si>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"SM-T715Y"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</si>
  <si>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"SM-T719Y"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</si>
  <si>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"SM-T713"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S2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</si>
  <si>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"GT-P5100"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2 10.1 P5100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</si>
  <si>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"SM-T307U"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8.4 (2020)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</si>
  <si>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"SM-T830"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S4 10.5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</si>
  <si>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"SM-T835"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S4 10.5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</si>
  <si>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"GT-N8000"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 10.1 N8000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</si>
  <si>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"GT-P3105"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2 7.0 P3100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</si>
  <si>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"GT-P3100"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2 7.0 P3100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</si>
  <si>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"SM-T116"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V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</si>
  <si>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"SM-T116BU"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V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</si>
  <si>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"SM-T116NQ"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V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</si>
  <si>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"SM-T116NU"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V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</si>
  <si>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"SM-T116NY"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V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</si>
  <si>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"SM-P205"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8.0 &amp;amp; S Pen (2019)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</si>
  <si>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"SM-P200"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8.0 &amp;amp; S Pen (2019)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</si>
  <si>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"SM-T575"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283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Active3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</si>
  <si>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"SM-T820"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S3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</si>
  <si>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"SM-T825"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S3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</si>
  <si>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"SM-T825Y"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264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S3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</si>
  <si>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"SM-P600"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 10.1 (2014)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</si>
  <si>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"SM-P601"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 10.1 (2014)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</si>
  <si>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"SM-P605"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 10.1 (2014)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</si>
  <si>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"SM-T555"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132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</si>
  <si>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"SM-T550"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132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</si>
  <si>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"SM-P555"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132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</si>
  <si>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"SM-P550"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132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9.7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</si>
  <si>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"SM-T530"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4 10.1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</si>
  <si>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 10.5 LTE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</si>
  <si>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359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 8.4 LTE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</si>
  <si>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"SM-T590"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216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10.5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</si>
  <si>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"SM-T595"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216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10.5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</si>
  <si>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"SM-T350"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160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8.0 (2015)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</si>
  <si>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"SM-T355"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160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8.0 (2015)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</si>
  <si>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288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 10.5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</si>
  <si>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"GT-N5100"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</si>
  <si>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"GT-N5120"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</si>
  <si>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"SM-T380"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8.0 (2017)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</si>
  <si>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"SM-T385"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8.0 (2017)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</si>
  <si>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"SM-T110"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Lite 7.0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</si>
  <si>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"SM-T377W"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E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</si>
  <si>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"SM-T377"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E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</si>
  <si>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"SM-T375"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E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</si>
  <si>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"SM-T377P"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E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</si>
  <si>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"SM-T377R"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E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</si>
  <si>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"SM-T377A"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E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</si>
  <si>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"SM-T866N"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287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S6 5G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</si>
  <si>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"SM-T311"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</si>
  <si>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</si>
  <si>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"SM-T315"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</si>
  <si>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"SM-T700"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359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S 8.4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</si>
  <si>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"GT-P5220"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10.1 P5220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</si>
  <si>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"SM-T231"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216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4 7.0 3G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</si>
  <si>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"GT-P1000"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P1000 Galaxy Tab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</si>
  <si>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"GT-P7500"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P7500 Galaxy Tab 10.1 3G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</si>
  <si>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"SM-T387"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8.0 (2018)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</si>
  <si>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"GT-P7510"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10.1 P7510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</si>
  <si>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"SM-T540"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Active Pro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</si>
  <si>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"SM-T547"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224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Active Pro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</si>
  <si>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"GT-P5210"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10.1 P5210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</si>
  <si>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"SM-T520"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Pro 10.1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</si>
  <si>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"GT-P5200"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10.1 P5200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</si>
  <si>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"GT-P5110"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2 10.1 P5110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</si>
  <si>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"SM-T395"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Active 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</si>
  <si>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"GT-P3110"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2 7.0 P3110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</si>
  <si>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"GT-N8010"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 10.1 N8010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</si>
  <si>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"GT-P6200"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P6200 Galaxy Tab 7.0 Plus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</si>
  <si>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"SM-T285YD"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216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J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</si>
  <si>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"SM-P905"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247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Note Pro 12.2 LTE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</si>
  <si>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"SM-T320"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359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Pro 8.4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</si>
  <si>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"GT-P3210"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7.0 WiFi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</si>
  <si>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"SM-T210"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7.0 WiFi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</si>
  <si>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"SM-T535"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149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4 10.1 LTE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</si>
  <si>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"SM-T927A"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127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View2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</si>
  <si>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"SM-T920"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127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View2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</si>
  <si>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"GT-P8110"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299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Google Nexus 10 P8110 Android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</si>
  <si>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"SM-T330"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189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4 8.0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</si>
  <si>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"SM-P355"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160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A 8.0 &amp;amp; S Pen (2015)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</si>
  <si>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"SM-T670"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View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</si>
  <si>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"SM-T810"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View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</si>
  <si>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"SM-T677A"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View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</si>
  <si>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"SM-T677"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View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</si>
  <si>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"SM-T677Y"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120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View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</si>
  <si>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"GT-P7300"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8.9 P7300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</si>
  <si>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navigator</t>
    </r>
    <r>
      <rPr>
        <sz val="11"/>
        <color rgb="FFCCCCCC"/>
        <rFont val="Consolas"/>
        <family val="3"/>
      </rPr>
      <t>.</t>
    </r>
    <r>
      <rPr>
        <sz val="11"/>
        <color rgb="FF4FC1FF"/>
        <rFont val="Consolas"/>
        <family val="3"/>
      </rPr>
      <t>userAgent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indexOf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"SM-T113"</t>
    </r>
    <r>
      <rPr>
        <sz val="11"/>
        <color rgb="FFCCCCCC"/>
        <rFont val="Consolas"/>
        <family val="3"/>
      </rPr>
      <t>)</t>
    </r>
    <r>
      <rPr>
        <sz val="11"/>
        <color rgb="FFD4D4D4"/>
        <rFont val="Consolas"/>
        <family val="3"/>
      </rPr>
      <t>!==-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){ </t>
    </r>
    <r>
      <rPr>
        <sz val="11"/>
        <color rgb="FF9CDCFE"/>
        <rFont val="Consolas"/>
        <family val="3"/>
      </rPr>
      <t>dpi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170</t>
    </r>
    <r>
      <rPr>
        <sz val="11"/>
        <color rgb="FFCCCCCC"/>
        <rFont val="Consolas"/>
        <family val="3"/>
      </rPr>
      <t xml:space="preserve">;} </t>
    </r>
    <r>
      <rPr>
        <sz val="11"/>
        <color rgb="FF6A9955"/>
        <rFont val="Consolas"/>
        <family val="3"/>
      </rPr>
      <t>//Samsung Galaxy Tab 3 Lite 7.0 VE</t>
    </r>
  </si>
  <si>
    <t>Samsung Galaxy Z Fold Special</t>
  </si>
  <si>
    <t xml:space="preserve">	SM-F958N</t>
  </si>
  <si>
    <t>Samsung Galaxy A16</t>
  </si>
  <si>
    <t>Samsung Galaxy A16 5G</t>
  </si>
  <si>
    <t>Samsung Galaxy S24 FE</t>
  </si>
  <si>
    <t>385 </t>
  </si>
  <si>
    <t>Samsung Galaxy Tab S10 Ultra</t>
  </si>
  <si>
    <t>Samsung Galaxy Tab S10+</t>
  </si>
  <si>
    <t>Samsung Galaxy M55s</t>
  </si>
  <si>
    <t>SM-M558B</t>
  </si>
  <si>
    <t>Samsung Galaxy F05</t>
  </si>
  <si>
    <t>SM-E055F</t>
  </si>
  <si>
    <t>Samsung Galaxy M05</t>
  </si>
  <si>
    <t>SM-M055F</t>
  </si>
  <si>
    <t>Samsung Galaxy A06</t>
  </si>
  <si>
    <t>Samsung Galaxy F14 4G</t>
  </si>
  <si>
    <t>SM-E145F</t>
  </si>
  <si>
    <t>Samsung Galaxy Z Fold6</t>
  </si>
  <si>
    <t>Samsung Galaxy Z Flip6</t>
  </si>
  <si>
    <t>Samsung Galaxy M35</t>
  </si>
  <si>
    <t>SM-M356B</t>
  </si>
  <si>
    <t>Samsung Galaxy F55</t>
  </si>
  <si>
    <t>SM-E556B</t>
  </si>
  <si>
    <t>Samsung Galaxy C55</t>
  </si>
  <si>
    <t>SM-C5560</t>
  </si>
  <si>
    <t>Samsung Galaxy M55</t>
  </si>
  <si>
    <t>SM-M556B</t>
  </si>
  <si>
    <t>Samsung Galaxy Tab S6 Lite (2024)</t>
  </si>
  <si>
    <t>Samsung Galaxy A55</t>
  </si>
  <si>
    <t>Samsung Galaxy A35</t>
  </si>
  <si>
    <t>Samsung Galaxy M15</t>
  </si>
  <si>
    <t>Samsung Galaxy M14 4G</t>
  </si>
  <si>
    <t>SM-M145F</t>
  </si>
  <si>
    <t>Samsung Galaxy F15</t>
  </si>
  <si>
    <t>SM-E156B</t>
  </si>
  <si>
    <t>Samsung Galaxy S24 Ultra</t>
  </si>
  <si>
    <t>Samsung Galaxy S24+</t>
  </si>
  <si>
    <t>Samsung Galaxy S24</t>
  </si>
  <si>
    <t>Samsung Galaxy XCover7</t>
  </si>
  <si>
    <t>Samsung Galaxy Tab Active5</t>
  </si>
  <si>
    <t>SM-X306B</t>
  </si>
  <si>
    <t>Samsung Galaxy A25</t>
  </si>
  <si>
    <t>Samsung Galaxy A15 5G</t>
  </si>
  <si>
    <t>Samsung Galaxy A15</t>
  </si>
  <si>
    <t>Samsung Galaxy Tab A9</t>
  </si>
  <si>
    <t>Samsung Galaxy S23 FE</t>
  </si>
  <si>
    <t>Samsung Galaxy Tab S9 FE</t>
  </si>
  <si>
    <t>Samsung Galaxy A05s</t>
  </si>
  <si>
    <t>Samsung Galaxy A05</t>
  </si>
  <si>
    <t>Samsung Galaxy F34</t>
  </si>
  <si>
    <t>Samsung Galaxy Z Fold5</t>
  </si>
  <si>
    <t>Samsung Galaxy Tab S9 Ultra</t>
  </si>
  <si>
    <t>Samsung Galaxy Tab S9+</t>
  </si>
  <si>
    <t>Samsung Galaxy Tab S9</t>
  </si>
  <si>
    <t>Samsung Galaxy M34 5G</t>
  </si>
  <si>
    <t>Samsung Galaxy F54</t>
  </si>
  <si>
    <t>SM-E546B</t>
  </si>
  <si>
    <t>Samsung Galaxy A24 4G</t>
  </si>
  <si>
    <t>Samsung Galaxy F14</t>
  </si>
  <si>
    <t>SM-E146B</t>
  </si>
  <si>
    <t>Samsung Galaxy M54</t>
  </si>
  <si>
    <t>SM-M546B</t>
  </si>
  <si>
    <t>Samsung Galaxy A54</t>
  </si>
  <si>
    <t>Samsung Galaxy A34</t>
  </si>
  <si>
    <t>Samsung Galaxy M14</t>
  </si>
  <si>
    <t>Samsung Galaxy S23 Ultra</t>
  </si>
  <si>
    <t>500 </t>
  </si>
  <si>
    <t>Samsung Galaxy S23+</t>
  </si>
  <si>
    <t>Samsung Galaxy S23</t>
  </si>
  <si>
    <t>Samsung Galaxy A14</t>
  </si>
  <si>
    <t>Samsung Galaxy A14 5G</t>
  </si>
  <si>
    <t>Samsung Galaxy F04</t>
  </si>
  <si>
    <t>SM-E045F</t>
  </si>
  <si>
    <t>Samsung Galaxy M04</t>
  </si>
  <si>
    <t>SM-M045F</t>
  </si>
  <si>
    <t>Samsung Galaxy Tab A7 10.4</t>
  </si>
  <si>
    <t>SM-T509</t>
  </si>
  <si>
    <t>Samsung Galaxy A04e</t>
  </si>
  <si>
    <t>Samsung Galaxy Tab Active4 Pro</t>
  </si>
  <si>
    <t>Samsung Galaxy A04s</t>
  </si>
  <si>
    <t>Samsung Galaxy A04</t>
  </si>
  <si>
    <t>Samsung Galaxy Z Fold4</t>
  </si>
  <si>
    <t>Samsung Galaxy Z Flip4</t>
  </si>
  <si>
    <t>Samsung Galaxy A23 5G</t>
  </si>
  <si>
    <t>SM-A236</t>
  </si>
  <si>
    <t>Samsung Galaxy M13 5G</t>
  </si>
  <si>
    <t>SM-M136</t>
  </si>
  <si>
    <t>Samsung Galaxy A13</t>
  </si>
  <si>
    <t>SM-A137F</t>
  </si>
  <si>
    <t>Samsung Galaxy XCover6 Pro</t>
  </si>
  <si>
    <t>SM-G736</t>
  </si>
  <si>
    <t>Samsung Galaxy F13</t>
  </si>
  <si>
    <t>SM-E135F</t>
  </si>
  <si>
    <t>Samsung Galaxy M13</t>
  </si>
  <si>
    <t>SM-M135F</t>
  </si>
  <si>
    <t>Samsung Galaxy Tab S6 Lite</t>
  </si>
  <si>
    <t>Samsung Galaxy M53</t>
  </si>
  <si>
    <t>SM-M536B</t>
  </si>
  <si>
    <t>Samsung Galaxy S20 FE 2022</t>
  </si>
  <si>
    <t>SM-G781NK</t>
  </si>
  <si>
    <t>Samsung Galaxy A73 5G</t>
  </si>
  <si>
    <t>SM-A736B</t>
  </si>
  <si>
    <t>Samsung Galaxy A53 5G</t>
  </si>
  <si>
    <t>SM-A536</t>
  </si>
  <si>
    <t>Samsung Galaxy A33 5G</t>
  </si>
  <si>
    <t>SM-A336</t>
  </si>
  <si>
    <t>Samsung Galaxy F23</t>
  </si>
  <si>
    <t>SM-E236</t>
  </si>
  <si>
    <t>Samsung Galaxy M33</t>
  </si>
  <si>
    <t>SM-M336</t>
  </si>
  <si>
    <t>Samsung Galaxy M23</t>
  </si>
  <si>
    <t>SM-M236</t>
  </si>
  <si>
    <t>Samsung Galaxy A23</t>
  </si>
  <si>
    <t>SM-A235</t>
  </si>
  <si>
    <t>SM-A135</t>
  </si>
  <si>
    <t>Samsung Galaxy S22 Ultra 5G</t>
  </si>
  <si>
    <t>SM-S908</t>
  </si>
  <si>
    <t>Samsung Galaxy S22+ 5G</t>
  </si>
  <si>
    <t>SM-S906</t>
  </si>
  <si>
    <t>Samsung Galaxy S22 5G</t>
  </si>
  <si>
    <t>425 </t>
  </si>
  <si>
    <t>SM-S901</t>
  </si>
  <si>
    <t>Samsung Galaxy Tab S8 Ultra</t>
  </si>
  <si>
    <t>SM-X90</t>
  </si>
  <si>
    <t>Samsung Galaxy Tab S8+</t>
  </si>
  <si>
    <t>SM-X80</t>
  </si>
  <si>
    <t>Samsung Galaxy Tab S8</t>
  </si>
  <si>
    <t>SM-X70</t>
  </si>
  <si>
    <t>Samsung Galaxy S21 FE 5G</t>
  </si>
  <si>
    <t>SM-G990</t>
  </si>
  <si>
    <t>Samsung Galaxy Tab A8 10.5</t>
  </si>
  <si>
    <t>SM-X20</t>
  </si>
  <si>
    <t>Samsung Galaxy A13 5G</t>
  </si>
  <si>
    <t>SM-A136</t>
  </si>
  <si>
    <t>Samsung Galaxy A03</t>
  </si>
  <si>
    <t>SM-A035</t>
  </si>
  <si>
    <t>Samsung Galaxy A03 Core</t>
  </si>
  <si>
    <t>SM-A032</t>
  </si>
  <si>
    <t>Samsung Galaxy F42 5G</t>
  </si>
  <si>
    <t>SM-E426B</t>
  </si>
  <si>
    <t>Samsung Galaxy M52 5G</t>
  </si>
  <si>
    <t>SM-M526B</t>
  </si>
  <si>
    <t>Samsung Galaxy M22</t>
  </si>
  <si>
    <t>SM-M225FV</t>
  </si>
  <si>
    <t>Samsung Galaxy M32 5G</t>
  </si>
  <si>
    <t>SM-M326B</t>
  </si>
  <si>
    <t>SM-A165</t>
  </si>
  <si>
    <t>SM-A166</t>
  </si>
  <si>
    <t>SM-S721</t>
  </si>
  <si>
    <t>SM-X92</t>
  </si>
  <si>
    <t>SM-X82</t>
  </si>
  <si>
    <t>SM-A065</t>
  </si>
  <si>
    <t>SM-F956</t>
  </si>
  <si>
    <t>SM-F741</t>
  </si>
  <si>
    <t>SM-P62</t>
  </si>
  <si>
    <t>SM-A556</t>
  </si>
  <si>
    <t>SM-A356</t>
  </si>
  <si>
    <t>SM-M156</t>
  </si>
  <si>
    <t>SM-S928</t>
  </si>
  <si>
    <t>SM-S926</t>
  </si>
  <si>
    <t>SM-S921</t>
  </si>
  <si>
    <t>SM-G556</t>
  </si>
  <si>
    <t>SM-A256</t>
  </si>
  <si>
    <t>SM-A156</t>
  </si>
  <si>
    <t>SM-A155</t>
  </si>
  <si>
    <t>SM-X11</t>
  </si>
  <si>
    <t>SM-S711</t>
  </si>
  <si>
    <t>SM-X61</t>
  </si>
  <si>
    <t>SM-X51</t>
  </si>
  <si>
    <t>SM-A057</t>
  </si>
  <si>
    <t>SM-A055</t>
  </si>
  <si>
    <t>SM-E346B</t>
  </si>
  <si>
    <t>SM-F946</t>
  </si>
  <si>
    <t>SM-X91</t>
  </si>
  <si>
    <t>SM-X81</t>
  </si>
  <si>
    <t>SM-M346</t>
  </si>
  <si>
    <t>SM-X71</t>
  </si>
  <si>
    <t>SM-A245</t>
  </si>
  <si>
    <t>SM-A546</t>
  </si>
  <si>
    <t>SM-A346</t>
  </si>
  <si>
    <t>SM-M146</t>
  </si>
  <si>
    <t>SM-S918</t>
  </si>
  <si>
    <t>SM-S916</t>
  </si>
  <si>
    <t>SM-S911</t>
  </si>
  <si>
    <t>SM-A145</t>
  </si>
  <si>
    <t>SM-A146</t>
  </si>
  <si>
    <t>SM-A042</t>
  </si>
  <si>
    <t>SM-T636</t>
  </si>
  <si>
    <t>SM-A047</t>
  </si>
  <si>
    <t>SM-A045</t>
  </si>
  <si>
    <t>SM-F936</t>
  </si>
  <si>
    <t>SM-F721</t>
  </si>
  <si>
    <t>SM-P61</t>
  </si>
  <si>
    <t>367</t>
  </si>
  <si>
    <t>385</t>
  </si>
  <si>
    <t>239</t>
  </si>
  <si>
    <t>266</t>
  </si>
  <si>
    <t>393</t>
  </si>
  <si>
    <t>262</t>
  </si>
  <si>
    <t>410</t>
  </si>
  <si>
    <t>306</t>
  </si>
  <si>
    <t>390</t>
  </si>
  <si>
    <t>224</t>
  </si>
  <si>
    <t>396</t>
  </si>
  <si>
    <t>394</t>
  </si>
  <si>
    <t>505</t>
  </si>
  <si>
    <t>513</t>
  </si>
  <si>
    <t>416</t>
  </si>
  <si>
    <t>400</t>
  </si>
  <si>
    <t>283</t>
  </si>
  <si>
    <t>179</t>
  </si>
  <si>
    <t>403</t>
  </si>
  <si>
    <t>243</t>
  </si>
  <si>
    <t>249</t>
  </si>
  <si>
    <t>373</t>
  </si>
  <si>
    <t>274</t>
  </si>
  <si>
    <t>425</t>
  </si>
  <si>
    <t>270</t>
  </si>
  <si>
    <t>426</t>
  </si>
  <si>
    <t>405</t>
  </si>
  <si>
    <t>411</t>
  </si>
  <si>
    <t>500</t>
  </si>
  <si>
    <t>240</t>
  </si>
  <si>
    <t>216</t>
  </si>
  <si>
    <t>    else if(navigator.userAgent.indexOf("	SM-F958N")!==-1){ dpi =367;} //Samsung Galaxy Z Fold Special</t>
  </si>
  <si>
    <t>    else if(navigator.userAgent.indexOf("SM-A165")!==-1){ dpi =385;} //Samsung Galaxy A16</t>
  </si>
  <si>
    <t>    else if(navigator.userAgent.indexOf("SM-A166")!==-1){ dpi =385;} //Samsung Galaxy A16 5G</t>
  </si>
  <si>
    <t>    else if(navigator.userAgent.indexOf("SM-S721")!==-1){ dpi =385 ;} //Samsung Galaxy S24 FE</t>
  </si>
  <si>
    <t>    else if(navigator.userAgent.indexOf("SM-X92")!==-1){ dpi =239;} //Samsung Galaxy Tab S10 Ultra</t>
  </si>
  <si>
    <t>    else if(navigator.userAgent.indexOf("SM-X82")!==-1){ dpi =266;} //Samsung Galaxy Tab S10+</t>
  </si>
  <si>
    <t>    else if(navigator.userAgent.indexOf("SM-M558B")!==-1){ dpi =393;} //Samsung Galaxy M55s</t>
  </si>
  <si>
    <t>    else if(navigator.userAgent.indexOf("SM-E055F")!==-1){ dpi =262;} //Samsung Galaxy F05</t>
  </si>
  <si>
    <t>    else if(navigator.userAgent.indexOf("SM-M055F")!==-1){ dpi =262;} //Samsung Galaxy M05</t>
  </si>
  <si>
    <t>    else if(navigator.userAgent.indexOf("SM-A065")!==-1){ dpi =262;} //Samsung Galaxy A06</t>
  </si>
  <si>
    <t>    else if(navigator.userAgent.indexOf("SM-E145F")!==-1){ dpi =393;} //Samsung Galaxy F14 4G</t>
  </si>
  <si>
    <t>    else if(navigator.userAgent.indexOf("SM-F956")!==-1){ dpi =410;} //Samsung Galaxy Z Fold6</t>
  </si>
  <si>
    <t>    else if(navigator.userAgent.indexOf("SM-F741")!==-1){ dpi =306;} //Samsung Galaxy Z Flip6</t>
  </si>
  <si>
    <t>    else if(navigator.userAgent.indexOf("SM-M356B")!==-1){ dpi =390;} //Samsung Galaxy M35</t>
  </si>
  <si>
    <t>    else if(navigator.userAgent.indexOf("SM-E556B")!==-1){ dpi =393;} //Samsung Galaxy F55</t>
  </si>
  <si>
    <t>    else if(navigator.userAgent.indexOf("SM-C5560")!==-1){ dpi =393;} //Samsung Galaxy C55</t>
  </si>
  <si>
    <t>    else if(navigator.userAgent.indexOf("SM-M556B")!==-1){ dpi =393;} //Samsung Galaxy M55</t>
  </si>
  <si>
    <t>    else if(navigator.userAgent.indexOf("SM-P62")!==-1){ dpi =224;} //Samsung Galaxy Tab S6 Lite (2024)</t>
  </si>
  <si>
    <t>    else if(navigator.userAgent.indexOf("SM-A556")!==-1){ dpi =390;} //Samsung Galaxy A55</t>
  </si>
  <si>
    <t>    else if(navigator.userAgent.indexOf("SM-A356")!==-1){ dpi =390;} //Samsung Galaxy A35</t>
  </si>
  <si>
    <t>    else if(navigator.userAgent.indexOf("SM-M156")!==-1){ dpi =396;} //Samsung Galaxy M15</t>
  </si>
  <si>
    <t>    else if(navigator.userAgent.indexOf("SM-M145F")!==-1){ dpi =394;} //Samsung Galaxy M14 4G</t>
  </si>
  <si>
    <t>    else if(navigator.userAgent.indexOf("SM-E156B")!==-1){ dpi =390;} //Samsung Galaxy F15</t>
  </si>
  <si>
    <t>    else if(navigator.userAgent.indexOf("SM-S928")!==-1){ dpi =505;} //Samsung Galaxy S24 Ultra</t>
  </si>
  <si>
    <t>    else if(navigator.userAgent.indexOf("SM-S926")!==-1){ dpi =513;} //Samsung Galaxy S24+</t>
  </si>
  <si>
    <t>    else if(navigator.userAgent.indexOf("SM-S921")!==-1){ dpi =416;} //Samsung Galaxy S24</t>
  </si>
  <si>
    <t>    else if(navigator.userAgent.indexOf("SM-G556")!==-1){ dpi =400;} //Samsung Galaxy XCover7</t>
  </si>
  <si>
    <t>    else if(navigator.userAgent.indexOf("SM-X306B")!==-1){ dpi =283;} //Samsung Galaxy Tab Active5</t>
  </si>
  <si>
    <t>    else if(navigator.userAgent.indexOf("SM-A256")!==-1){ dpi =396;} //Samsung Galaxy A25</t>
  </si>
  <si>
    <t>    else if(navigator.userAgent.indexOf("SM-A156")!==-1){ dpi =396;} //Samsung Galaxy A15 5G</t>
  </si>
  <si>
    <t>    else if(navigator.userAgent.indexOf("SM-A155")!==-1){ dpi =396;} //Samsung Galaxy A15</t>
  </si>
  <si>
    <t>    else if(navigator.userAgent.indexOf("SM-X11")!==-1){ dpi =179;} //Samsung Galaxy Tab A9</t>
  </si>
  <si>
    <t>    else if(navigator.userAgent.indexOf("SM-S711")!==-1){ dpi =403;} //Samsung Galaxy S23 FE</t>
  </si>
  <si>
    <t>    else if(navigator.userAgent.indexOf("SM-X61")!==-1){ dpi =243;} //Samsung Galaxy Tab S9 FE</t>
  </si>
  <si>
    <t>    else if(navigator.userAgent.indexOf("SM-X51")!==-1){ dpi =249;} //Samsung Galaxy Tab S9 FE</t>
  </si>
  <si>
    <t>    else if(navigator.userAgent.indexOf("SM-A057")!==-1){ dpi =393;} //Samsung Galaxy A05s</t>
  </si>
  <si>
    <t>    else if(navigator.userAgent.indexOf("SM-A055")!==-1){ dpi =262;} //Samsung Galaxy A05</t>
  </si>
  <si>
    <t>    else if(navigator.userAgent.indexOf("SM-E346B")!==-1){ dpi =396;} //Samsung Galaxy F34</t>
  </si>
  <si>
    <t>    else if(navigator.userAgent.indexOf("SM-F946")!==-1){ dpi =373;} //Samsung Galaxy Z Fold5</t>
  </si>
  <si>
    <t>    else if(navigator.userAgent.indexOf("SM-X91")!==-1){ dpi =239;} //Samsung Galaxy Tab S9 Ultra</t>
  </si>
  <si>
    <t>    else if(navigator.userAgent.indexOf("SM-X81")!==-1){ dpi =266;} //Samsung Galaxy Tab S9+</t>
  </si>
  <si>
    <t>    else if(navigator.userAgent.indexOf("SM-X71")!==-1){ dpi =274;} //Samsung Galaxy Tab S9</t>
  </si>
  <si>
    <t>    else if(navigator.userAgent.indexOf("SM-M346")!==-1){ dpi =396;} //Samsung Galaxy M34 5G</t>
  </si>
  <si>
    <t>    else if(navigator.userAgent.indexOf("SM-E546B")!==-1){ dpi =393;} //Samsung Galaxy F54</t>
  </si>
  <si>
    <t>    else if(navigator.userAgent.indexOf("SM-A245")!==-1){ dpi =396;} //Samsung Galaxy A24 4G</t>
  </si>
  <si>
    <t>    else if(navigator.userAgent.indexOf("SM-E146B")!==-1){ dpi =400;} //Samsung Galaxy F14</t>
  </si>
  <si>
    <t>    else if(navigator.userAgent.indexOf("SM-M546B")!==-1){ dpi =393;} //Samsung Galaxy M54</t>
  </si>
  <si>
    <t>    else if(navigator.userAgent.indexOf("SM-A546")!==-1){ dpi =403;} //Samsung Galaxy A54</t>
  </si>
  <si>
    <t>    else if(navigator.userAgent.indexOf("SM-A346")!==-1){ dpi =390;} //Samsung Galaxy A34</t>
  </si>
  <si>
    <t>    else if(navigator.userAgent.indexOf("SM-M146")!==-1){ dpi =400;} //Samsung Galaxy M14</t>
  </si>
  <si>
    <t>    else if(navigator.userAgent.indexOf("SM-S918")!==-1){ dpi =500 ;} //Samsung Galaxy S23 Ultra</t>
  </si>
  <si>
    <t>    else if(navigator.userAgent.indexOf("SM-S916")!==-1){ dpi =393;} //Samsung Galaxy S23+</t>
  </si>
  <si>
    <t>    else if(navigator.userAgent.indexOf("SM-S911")!==-1){ dpi =425;} //Samsung Galaxy S23</t>
  </si>
  <si>
    <t>    else if(navigator.userAgent.indexOf("SM-A145")!==-1){ dpi =400;} //Samsung Galaxy A14</t>
  </si>
  <si>
    <t>    else if(navigator.userAgent.indexOf("SM-A146")!==-1){ dpi =400;} //Samsung Galaxy A14 5G</t>
  </si>
  <si>
    <t>    else if(navigator.userAgent.indexOf("SM-E045F")!==-1){ dpi =270;} //Samsung Galaxy F04</t>
  </si>
  <si>
    <t>    else if(navigator.userAgent.indexOf("SM-M045F")!==-1){ dpi =270;} //Samsung Galaxy M04</t>
  </si>
  <si>
    <t>    else if(navigator.userAgent.indexOf("SM-T509")!==-1){ dpi =224;} //Samsung Galaxy Tab A7 10.4</t>
  </si>
  <si>
    <t>    else if(navigator.userAgent.indexOf("SM-A042")!==-1){ dpi =270;} //Samsung Galaxy A04e</t>
  </si>
  <si>
    <t>    else if(navigator.userAgent.indexOf("SM-T636")!==-1){ dpi =224;} //Samsung Galaxy Tab Active4 Pro</t>
  </si>
  <si>
    <t>    else if(navigator.userAgent.indexOf("SM-A047")!==-1){ dpi =270;} //Samsung Galaxy A04s</t>
  </si>
  <si>
    <t>    else if(navigator.userAgent.indexOf("SM-A045")!==-1){ dpi =270;} //Samsung Galaxy A04</t>
  </si>
  <si>
    <t>    else if(navigator.userAgent.indexOf("SM-F936")!==-1){ dpi =373;} //Samsung Galaxy Z Fold4</t>
  </si>
  <si>
    <t>    else if(navigator.userAgent.indexOf("SM-F721")!==-1){ dpi =426;} //Samsung Galaxy Z Flip4</t>
  </si>
  <si>
    <t>    else if(navigator.userAgent.indexOf("SM-A236")!==-1){ dpi =400;} //Samsung Galaxy A23 5G</t>
  </si>
  <si>
    <t>    else if(navigator.userAgent.indexOf("SM-M136")!==-1){ dpi =270;} //Samsung Galaxy M13 5G</t>
  </si>
  <si>
    <t>    else if(navigator.userAgent.indexOf("SM-A137F")!==-1){ dpi =400;} //Samsung Galaxy A13</t>
  </si>
  <si>
    <t>    else if(navigator.userAgent.indexOf("SM-G736")!==-1){ dpi =400;} //Samsung Galaxy XCover6 Pro</t>
  </si>
  <si>
    <t>    else if(navigator.userAgent.indexOf("SM-E135F")!==-1){ dpi =400;} //Samsung Galaxy F13</t>
  </si>
  <si>
    <t>    else if(navigator.userAgent.indexOf("SM-M135F")!==-1){ dpi =400;} //Samsung Galaxy M13</t>
  </si>
  <si>
    <t>    else if(navigator.userAgent.indexOf("SM-P61")!==-1){ dpi =224;} //Samsung Galaxy Tab S6 Lite</t>
  </si>
  <si>
    <t>    else if(navigator.userAgent.indexOf("SM-M536B")!==-1){ dpi =394;} //Samsung Galaxy M53</t>
  </si>
  <si>
    <t>    else if(navigator.userAgent.indexOf("SM-G781NK")!==-1){ dpi =405;} //Samsung Galaxy S20 FE 2022</t>
  </si>
  <si>
    <t>    else if(navigator.userAgent.indexOf("SM-A736B")!==-1){ dpi =393;} //Samsung Galaxy A73 5G</t>
  </si>
  <si>
    <t>    else if(navigator.userAgent.indexOf("SM-A536")!==-1){ dpi =405;} //Samsung Galaxy A53 5G</t>
  </si>
  <si>
    <t>    else if(navigator.userAgent.indexOf("SM-A336")!==-1){ dpi =411;} //Samsung Galaxy A33 5G</t>
  </si>
  <si>
    <t>    else if(navigator.userAgent.indexOf("SM-E236")!==-1){ dpi =400;} //Samsung Galaxy F23</t>
  </si>
  <si>
    <t>    else if(navigator.userAgent.indexOf("SM-M336")!==-1){ dpi =400;} //Samsung Galaxy M33</t>
  </si>
  <si>
    <t>    else if(navigator.userAgent.indexOf("SM-M236")!==-1){ dpi =400;} //Samsung Galaxy M23</t>
  </si>
  <si>
    <t>    else if(navigator.userAgent.indexOf("SM-A235")!==-1){ dpi =400;} //Samsung Galaxy A23</t>
  </si>
  <si>
    <t>    else if(navigator.userAgent.indexOf("SM-A135")!==-1){ dpi =400;} //Samsung Galaxy A13</t>
  </si>
  <si>
    <t>    else if(navigator.userAgent.indexOf("SM-S908")!==-1){ dpi =500;} //Samsung Galaxy S22 Ultra 5G</t>
  </si>
  <si>
    <t>    else if(navigator.userAgent.indexOf("SM-S906")!==-1){ dpi =393;} //Samsung Galaxy S22+ 5G</t>
  </si>
  <si>
    <t>    else if(navigator.userAgent.indexOf("SM-S901")!==-1){ dpi =425 ;} //Samsung Galaxy S22 5G</t>
  </si>
  <si>
    <t>    else if(navigator.userAgent.indexOf("SM-X90")!==-1){ dpi =240;} //Samsung Galaxy Tab S8 Ultra</t>
  </si>
  <si>
    <t>    else if(navigator.userAgent.indexOf("SM-X80")!==-1){ dpi =266;} //Samsung Galaxy Tab S8+</t>
  </si>
  <si>
    <t>    else if(navigator.userAgent.indexOf("SM-X70")!==-1){ dpi =274;} //Samsung Galaxy Tab S8</t>
  </si>
  <si>
    <t>    else if(navigator.userAgent.indexOf("SM-G990")!==-1){ dpi =403;} //Samsung Galaxy S21 FE 5G</t>
  </si>
  <si>
    <t>    else if(navigator.userAgent.indexOf("SM-X20")!==-1){ dpi =216;} //Samsung Galaxy Tab A8 10.5</t>
  </si>
  <si>
    <t>    else if(navigator.userAgent.indexOf("SM-A136")!==-1){ dpi =270;} //Samsung Galaxy A13 5G</t>
  </si>
  <si>
    <t>    else if(navigator.userAgent.indexOf("SM-A035")!==-1){ dpi =270;} //Samsung Galaxy A03</t>
  </si>
  <si>
    <t>    else if(navigator.userAgent.indexOf("SM-A032")!==-1){ dpi =270;} //Samsung Galaxy A03 Core</t>
  </si>
  <si>
    <t>    else if(navigator.userAgent.indexOf("SM-E426B")!==-1){ dpi =400;} //Samsung Galaxy F42 5G</t>
  </si>
  <si>
    <t>    else if(navigator.userAgent.indexOf("SM-M526B")!==-1){ dpi =393;} //Samsung Galaxy M52 5G</t>
  </si>
  <si>
    <t>    else if(navigator.userAgent.indexOf("SM-M225FV")!==-1){ dpi =274;} //Samsung Galaxy M22</t>
  </si>
  <si>
    <t>    else if(navigator.userAgent.indexOf("SM-M326B")!==-1){ dpi =270;} //Samsung Galaxy M32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</si>
</sst>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CCCCCC"/>
      <name val="Consolas"/>
      <family val="3"/>
    </font>
    <font>
      <sz val="11"/>
      <color rgb="FFC586C0"/>
      <name val="Consolas"/>
      <family val="3"/>
    </font>
    <font>
      <sz val="11"/>
      <color rgb="FF9CDCFE"/>
      <name val="Consolas"/>
      <family val="3"/>
    </font>
    <font>
      <sz val="11"/>
      <color rgb="FFD4D4D4"/>
      <name val="Consolas"/>
      <family val="3"/>
    </font>
    <font>
      <sz val="11"/>
      <color rgb="FFCE9178"/>
      <name val="Consolas"/>
      <family val="3"/>
    </font>
    <font>
      <sz val="11"/>
      <color rgb="FFDCDCAA"/>
      <name val="Consolas"/>
      <family val="3"/>
    </font>
    <font>
      <sz val="11"/>
      <color rgb="FFB5CEA8"/>
      <name val="Consolas"/>
      <family val="3"/>
    </font>
    <font>
      <sz val="11"/>
      <color rgb="FF4FC1FF"/>
      <name val="Consolas"/>
      <family val="3"/>
    </font>
    <font>
      <sz val="11"/>
      <color rgb="FF6A9955"/>
      <name val="Consolas"/>
      <family val="3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0" xfId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os-resolution.com/apple-watch-series-7-large/" TargetMode="External"/><Relationship Id="rId21" Type="http://schemas.openxmlformats.org/officeDocument/2006/relationships/hyperlink" Target="https://www.ios-resolution.com/apple-watch-series-8-small/" TargetMode="External"/><Relationship Id="rId42" Type="http://schemas.openxmlformats.org/officeDocument/2006/relationships/hyperlink" Target="https://www.ios-resolution.com/apple-watch-series-6-large/" TargetMode="External"/><Relationship Id="rId47" Type="http://schemas.openxmlformats.org/officeDocument/2006/relationships/hyperlink" Target="https://www.ios-resolution.com/ipad-pro-4th-gen-12-9/" TargetMode="External"/><Relationship Id="rId63" Type="http://schemas.openxmlformats.org/officeDocument/2006/relationships/hyperlink" Target="https://www.ios-resolution.com/apple-watch-series-4-large/" TargetMode="External"/><Relationship Id="rId68" Type="http://schemas.openxmlformats.org/officeDocument/2006/relationships/hyperlink" Target="https://www.ios-resolution.com/iphone-8/" TargetMode="External"/><Relationship Id="rId84" Type="http://schemas.openxmlformats.org/officeDocument/2006/relationships/hyperlink" Target="https://www.ios-resolution.com/iphone-6s/" TargetMode="External"/><Relationship Id="rId89" Type="http://schemas.openxmlformats.org/officeDocument/2006/relationships/hyperlink" Target="https://www.ios-resolution.com/ipad-air-2/" TargetMode="External"/><Relationship Id="rId112" Type="http://schemas.openxmlformats.org/officeDocument/2006/relationships/hyperlink" Target="https://www.ios-resolution.com/iphone-1st-gen/" TargetMode="External"/><Relationship Id="rId2" Type="http://schemas.openxmlformats.org/officeDocument/2006/relationships/hyperlink" Target="https://www.ios-resolution.com/iphone-16-pro/" TargetMode="External"/><Relationship Id="rId16" Type="http://schemas.openxmlformats.org/officeDocument/2006/relationships/hyperlink" Target="https://www.ios-resolution.com/apple-watch-ultra/" TargetMode="External"/><Relationship Id="rId29" Type="http://schemas.openxmlformats.org/officeDocument/2006/relationships/hyperlink" Target="https://www.ios-resolution.com/iphone-13/" TargetMode="External"/><Relationship Id="rId107" Type="http://schemas.openxmlformats.org/officeDocument/2006/relationships/hyperlink" Target="https://www.ios-resolution.com/ipod-touch-3rd-gen/" TargetMode="External"/><Relationship Id="rId11" Type="http://schemas.openxmlformats.org/officeDocument/2006/relationships/hyperlink" Target="https://www.ios-resolution.com/apple-watch-series-9-small/" TargetMode="External"/><Relationship Id="rId24" Type="http://schemas.openxmlformats.org/officeDocument/2006/relationships/hyperlink" Target="https://www.ios-resolution.com/iphone-se-3rd-gen/" TargetMode="External"/><Relationship Id="rId32" Type="http://schemas.openxmlformats.org/officeDocument/2006/relationships/hyperlink" Target="https://www.ios-resolution.com/iphone-13-pro/" TargetMode="External"/><Relationship Id="rId37" Type="http://schemas.openxmlformats.org/officeDocument/2006/relationships/hyperlink" Target="https://www.ios-resolution.com/iphone-12/" TargetMode="External"/><Relationship Id="rId40" Type="http://schemas.openxmlformats.org/officeDocument/2006/relationships/hyperlink" Target="https://www.ios-resolution.com/iphone-12-pro/" TargetMode="External"/><Relationship Id="rId45" Type="http://schemas.openxmlformats.org/officeDocument/2006/relationships/hyperlink" Target="https://www.ios-resolution.com/apple-watch-se-1st-small/" TargetMode="External"/><Relationship Id="rId53" Type="http://schemas.openxmlformats.org/officeDocument/2006/relationships/hyperlink" Target="https://www.ios-resolution.com/apple-watch-series-5-large/" TargetMode="External"/><Relationship Id="rId58" Type="http://schemas.openxmlformats.org/officeDocument/2006/relationships/hyperlink" Target="https://www.ios-resolution.com/ipad-pro-3rd-gen-12-9/" TargetMode="External"/><Relationship Id="rId66" Type="http://schemas.openxmlformats.org/officeDocument/2006/relationships/hyperlink" Target="https://www.ios-resolution.com/iphone-x/" TargetMode="External"/><Relationship Id="rId74" Type="http://schemas.openxmlformats.org/officeDocument/2006/relationships/hyperlink" Target="https://www.ios-resolution.com/iphone-7-plus/" TargetMode="External"/><Relationship Id="rId79" Type="http://schemas.openxmlformats.org/officeDocument/2006/relationships/hyperlink" Target="https://www.ios-resolution.com/apple-watch-series-1-small/" TargetMode="External"/><Relationship Id="rId87" Type="http://schemas.openxmlformats.org/officeDocument/2006/relationships/hyperlink" Target="https://www.ios-resolution.com/apple-watch-1st-series-0-large/" TargetMode="External"/><Relationship Id="rId102" Type="http://schemas.openxmlformats.org/officeDocument/2006/relationships/hyperlink" Target="https://www.ios-resolution.com/iphone-4s/" TargetMode="External"/><Relationship Id="rId110" Type="http://schemas.openxmlformats.org/officeDocument/2006/relationships/hyperlink" Target="https://www.ios-resolution.com/iphone-3g/" TargetMode="External"/><Relationship Id="rId5" Type="http://schemas.openxmlformats.org/officeDocument/2006/relationships/hyperlink" Target="https://www.ios-resolution.com/iphone-15-pro-max/" TargetMode="External"/><Relationship Id="rId61" Type="http://schemas.openxmlformats.org/officeDocument/2006/relationships/hyperlink" Target="https://www.ios-resolution.com/iphone-xs-max/" TargetMode="External"/><Relationship Id="rId82" Type="http://schemas.openxmlformats.org/officeDocument/2006/relationships/hyperlink" Target="https://www.ios-resolution.com/ipad-pro-1st-gen-12-9/" TargetMode="External"/><Relationship Id="rId90" Type="http://schemas.openxmlformats.org/officeDocument/2006/relationships/hyperlink" Target="https://www.ios-resolution.com/ipad-mini-3/" TargetMode="External"/><Relationship Id="rId95" Type="http://schemas.openxmlformats.org/officeDocument/2006/relationships/hyperlink" Target="https://www.ios-resolution.com/iphone-5c/" TargetMode="External"/><Relationship Id="rId19" Type="http://schemas.openxmlformats.org/officeDocument/2006/relationships/hyperlink" Target="https://www.ios-resolution.com/iphone-14/" TargetMode="External"/><Relationship Id="rId14" Type="http://schemas.openxmlformats.org/officeDocument/2006/relationships/hyperlink" Target="https://www.ios-resolution.com/ipad-10th-gen/" TargetMode="External"/><Relationship Id="rId22" Type="http://schemas.openxmlformats.org/officeDocument/2006/relationships/hyperlink" Target="https://www.ios-resolution.com/apple-watch-se-2nd-large/" TargetMode="External"/><Relationship Id="rId27" Type="http://schemas.openxmlformats.org/officeDocument/2006/relationships/hyperlink" Target="https://www.ios-resolution.com/apple-watch-series-7-small/" TargetMode="External"/><Relationship Id="rId30" Type="http://schemas.openxmlformats.org/officeDocument/2006/relationships/hyperlink" Target="https://www.ios-resolution.com/iphone-13-mini/" TargetMode="External"/><Relationship Id="rId35" Type="http://schemas.openxmlformats.org/officeDocument/2006/relationships/hyperlink" Target="https://www.ios-resolution.com/ipad-pro-5th-gen-11/" TargetMode="External"/><Relationship Id="rId43" Type="http://schemas.openxmlformats.org/officeDocument/2006/relationships/hyperlink" Target="https://www.ios-resolution.com/apple-watch-series-6-small/" TargetMode="External"/><Relationship Id="rId48" Type="http://schemas.openxmlformats.org/officeDocument/2006/relationships/hyperlink" Target="https://www.ios-resolution.com/ipad-pro-4th-gen-11/" TargetMode="External"/><Relationship Id="rId56" Type="http://schemas.openxmlformats.org/officeDocument/2006/relationships/hyperlink" Target="https://www.ios-resolution.com/ipad-mini-5th-gen/" TargetMode="External"/><Relationship Id="rId64" Type="http://schemas.openxmlformats.org/officeDocument/2006/relationships/hyperlink" Target="https://www.ios-resolution.com/apple-watch-series-4-small/" TargetMode="External"/><Relationship Id="rId69" Type="http://schemas.openxmlformats.org/officeDocument/2006/relationships/hyperlink" Target="https://www.ios-resolution.com/apple-watch-series-3-large/" TargetMode="External"/><Relationship Id="rId77" Type="http://schemas.openxmlformats.org/officeDocument/2006/relationships/hyperlink" Target="https://www.ios-resolution.com/apple-watch-series-2-small/" TargetMode="External"/><Relationship Id="rId100" Type="http://schemas.openxmlformats.org/officeDocument/2006/relationships/hyperlink" Target="https://www.ios-resolution.com/iphone-5/" TargetMode="External"/><Relationship Id="rId105" Type="http://schemas.openxmlformats.org/officeDocument/2006/relationships/hyperlink" Target="https://www.ios-resolution.com/iphone-4/" TargetMode="External"/><Relationship Id="rId113" Type="http://schemas.openxmlformats.org/officeDocument/2006/relationships/printerSettings" Target="../printerSettings/printerSettings1.bin"/><Relationship Id="rId8" Type="http://schemas.openxmlformats.org/officeDocument/2006/relationships/hyperlink" Target="https://www.ios-resolution.com/iphone-15/" TargetMode="External"/><Relationship Id="rId51" Type="http://schemas.openxmlformats.org/officeDocument/2006/relationships/hyperlink" Target="https://www.ios-resolution.com/iphone-11-pro/" TargetMode="External"/><Relationship Id="rId72" Type="http://schemas.openxmlformats.org/officeDocument/2006/relationships/hyperlink" Target="https://www.ios-resolution.com/ipad-pro-2nd-gen-10-5/" TargetMode="External"/><Relationship Id="rId80" Type="http://schemas.openxmlformats.org/officeDocument/2006/relationships/hyperlink" Target="https://www.ios-resolution.com/iphone-se-1st-gen/" TargetMode="External"/><Relationship Id="rId85" Type="http://schemas.openxmlformats.org/officeDocument/2006/relationships/hyperlink" Target="https://www.ios-resolution.com/ipad-mini-4/" TargetMode="External"/><Relationship Id="rId93" Type="http://schemas.openxmlformats.org/officeDocument/2006/relationships/hyperlink" Target="https://www.ios-resolution.com/ipad-mini-2/" TargetMode="External"/><Relationship Id="rId98" Type="http://schemas.openxmlformats.org/officeDocument/2006/relationships/hyperlink" Target="https://www.ios-resolution.com/ipad-mini/" TargetMode="External"/><Relationship Id="rId3" Type="http://schemas.openxmlformats.org/officeDocument/2006/relationships/hyperlink" Target="https://www.ios-resolution.com/iphone-16-plus/" TargetMode="External"/><Relationship Id="rId12" Type="http://schemas.openxmlformats.org/officeDocument/2006/relationships/hyperlink" Target="https://www.ios-resolution.com/ipad-pro-6th-gen-12-9/" TargetMode="External"/><Relationship Id="rId17" Type="http://schemas.openxmlformats.org/officeDocument/2006/relationships/hyperlink" Target="https://www.ios-resolution.com/iphone-14-pro-max/" TargetMode="External"/><Relationship Id="rId25" Type="http://schemas.openxmlformats.org/officeDocument/2006/relationships/hyperlink" Target="https://www.ios-resolution.com/ipad-air-5th-gen/" TargetMode="External"/><Relationship Id="rId33" Type="http://schemas.openxmlformats.org/officeDocument/2006/relationships/hyperlink" Target="https://www.ios-resolution.com/ipad-9th-gen/" TargetMode="External"/><Relationship Id="rId38" Type="http://schemas.openxmlformats.org/officeDocument/2006/relationships/hyperlink" Target="https://www.ios-resolution.com/iphone-12-mini/" TargetMode="External"/><Relationship Id="rId46" Type="http://schemas.openxmlformats.org/officeDocument/2006/relationships/hyperlink" Target="https://www.ios-resolution.com/iphone-se-2nd-gen/" TargetMode="External"/><Relationship Id="rId59" Type="http://schemas.openxmlformats.org/officeDocument/2006/relationships/hyperlink" Target="https://www.ios-resolution.com/ipad-pro-3rd-gen-11/" TargetMode="External"/><Relationship Id="rId67" Type="http://schemas.openxmlformats.org/officeDocument/2006/relationships/hyperlink" Target="https://www.ios-resolution.com/iphone-8-plus/" TargetMode="External"/><Relationship Id="rId103" Type="http://schemas.openxmlformats.org/officeDocument/2006/relationships/hyperlink" Target="https://www.ios-resolution.com/ipad-2/" TargetMode="External"/><Relationship Id="rId108" Type="http://schemas.openxmlformats.org/officeDocument/2006/relationships/hyperlink" Target="https://www.ios-resolution.com/iphone-3gs/" TargetMode="External"/><Relationship Id="rId20" Type="http://schemas.openxmlformats.org/officeDocument/2006/relationships/hyperlink" Target="https://www.ios-resolution.com/apple-watch-series-8-large/" TargetMode="External"/><Relationship Id="rId41" Type="http://schemas.openxmlformats.org/officeDocument/2006/relationships/hyperlink" Target="https://www.ios-resolution.com/ipad-8th-gen/" TargetMode="External"/><Relationship Id="rId54" Type="http://schemas.openxmlformats.org/officeDocument/2006/relationships/hyperlink" Target="https://www.ios-resolution.com/apple-watch-series-5-small/" TargetMode="External"/><Relationship Id="rId62" Type="http://schemas.openxmlformats.org/officeDocument/2006/relationships/hyperlink" Target="https://www.ios-resolution.com/iphone-xs/" TargetMode="External"/><Relationship Id="rId70" Type="http://schemas.openxmlformats.org/officeDocument/2006/relationships/hyperlink" Target="https://www.ios-resolution.com/apple-watch-series-3-small/" TargetMode="External"/><Relationship Id="rId75" Type="http://schemas.openxmlformats.org/officeDocument/2006/relationships/hyperlink" Target="https://www.ios-resolution.com/iphone-7/" TargetMode="External"/><Relationship Id="rId83" Type="http://schemas.openxmlformats.org/officeDocument/2006/relationships/hyperlink" Target="https://www.ios-resolution.com/iphone-6s-plus/" TargetMode="External"/><Relationship Id="rId88" Type="http://schemas.openxmlformats.org/officeDocument/2006/relationships/hyperlink" Target="https://www.ios-resolution.com/apple-watch-1st-series-0-small/" TargetMode="External"/><Relationship Id="rId91" Type="http://schemas.openxmlformats.org/officeDocument/2006/relationships/hyperlink" Target="https://www.ios-resolution.com/iphone-6-plus/" TargetMode="External"/><Relationship Id="rId96" Type="http://schemas.openxmlformats.org/officeDocument/2006/relationships/hyperlink" Target="https://www.ios-resolution.com/iphone-5s/" TargetMode="External"/><Relationship Id="rId111" Type="http://schemas.openxmlformats.org/officeDocument/2006/relationships/hyperlink" Target="https://www.ios-resolution.com/ipod-touch-1st-gen/" TargetMode="External"/><Relationship Id="rId1" Type="http://schemas.openxmlformats.org/officeDocument/2006/relationships/hyperlink" Target="https://www.ios-resolution.com/iphone-16-pro-max/" TargetMode="External"/><Relationship Id="rId6" Type="http://schemas.openxmlformats.org/officeDocument/2006/relationships/hyperlink" Target="https://www.ios-resolution.com/iphone-15-pro/" TargetMode="External"/><Relationship Id="rId15" Type="http://schemas.openxmlformats.org/officeDocument/2006/relationships/hyperlink" Target="https://www.ios-resolution.com/iphone-14-plus/" TargetMode="External"/><Relationship Id="rId23" Type="http://schemas.openxmlformats.org/officeDocument/2006/relationships/hyperlink" Target="https://www.ios-resolution.com/apple-watch-se-2nd-small/" TargetMode="External"/><Relationship Id="rId28" Type="http://schemas.openxmlformats.org/officeDocument/2006/relationships/hyperlink" Target="https://www.ios-resolution.com/ipad-mini-6th-gen/" TargetMode="External"/><Relationship Id="rId36" Type="http://schemas.openxmlformats.org/officeDocument/2006/relationships/hyperlink" Target="https://www.ios-resolution.com/ipad-air-4th-gen/" TargetMode="External"/><Relationship Id="rId49" Type="http://schemas.openxmlformats.org/officeDocument/2006/relationships/hyperlink" Target="https://www.ios-resolution.com/ipad-7th-gen/" TargetMode="External"/><Relationship Id="rId57" Type="http://schemas.openxmlformats.org/officeDocument/2006/relationships/hyperlink" Target="https://www.ios-resolution.com/ipad-air-3rd-gen/" TargetMode="External"/><Relationship Id="rId106" Type="http://schemas.openxmlformats.org/officeDocument/2006/relationships/hyperlink" Target="https://www.ios-resolution.com/ipad-1st-gen/" TargetMode="External"/><Relationship Id="rId10" Type="http://schemas.openxmlformats.org/officeDocument/2006/relationships/hyperlink" Target="https://www.ios-resolution.com/apple-watch-series-9-large/" TargetMode="External"/><Relationship Id="rId31" Type="http://schemas.openxmlformats.org/officeDocument/2006/relationships/hyperlink" Target="https://www.ios-resolution.com/iphone-13-pro-max/" TargetMode="External"/><Relationship Id="rId44" Type="http://schemas.openxmlformats.org/officeDocument/2006/relationships/hyperlink" Target="https://www.ios-resolution.com/apple-watch-se-1st-large/" TargetMode="External"/><Relationship Id="rId52" Type="http://schemas.openxmlformats.org/officeDocument/2006/relationships/hyperlink" Target="https://www.ios-resolution.com/iphone-11/" TargetMode="External"/><Relationship Id="rId60" Type="http://schemas.openxmlformats.org/officeDocument/2006/relationships/hyperlink" Target="https://www.ios-resolution.com/iphone-xr/" TargetMode="External"/><Relationship Id="rId65" Type="http://schemas.openxmlformats.org/officeDocument/2006/relationships/hyperlink" Target="https://www.ios-resolution.com/ipad-6th-gen/" TargetMode="External"/><Relationship Id="rId73" Type="http://schemas.openxmlformats.org/officeDocument/2006/relationships/hyperlink" Target="https://www.ios-resolution.com/ipad-5th-gen/" TargetMode="External"/><Relationship Id="rId78" Type="http://schemas.openxmlformats.org/officeDocument/2006/relationships/hyperlink" Target="https://www.ios-resolution.com/apple-watch-series-1-large/" TargetMode="External"/><Relationship Id="rId81" Type="http://schemas.openxmlformats.org/officeDocument/2006/relationships/hyperlink" Target="https://www.ios-resolution.com/ipad-pro-1st-gen-9-7/" TargetMode="External"/><Relationship Id="rId86" Type="http://schemas.openxmlformats.org/officeDocument/2006/relationships/hyperlink" Target="https://www.ios-resolution.com/ipod-touch-6th-gen/" TargetMode="External"/><Relationship Id="rId94" Type="http://schemas.openxmlformats.org/officeDocument/2006/relationships/hyperlink" Target="https://www.ios-resolution.com/ipad-air/" TargetMode="External"/><Relationship Id="rId99" Type="http://schemas.openxmlformats.org/officeDocument/2006/relationships/hyperlink" Target="https://www.ios-resolution.com/ipod-touch-5th-gen/" TargetMode="External"/><Relationship Id="rId101" Type="http://schemas.openxmlformats.org/officeDocument/2006/relationships/hyperlink" Target="https://www.ios-resolution.com/ipad-3rd-gen/" TargetMode="External"/><Relationship Id="rId4" Type="http://schemas.openxmlformats.org/officeDocument/2006/relationships/hyperlink" Target="https://www.ios-resolution.com/iphone-16/" TargetMode="External"/><Relationship Id="rId9" Type="http://schemas.openxmlformats.org/officeDocument/2006/relationships/hyperlink" Target="https://www.ios-resolution.com/apple-watch-ultra-2/" TargetMode="External"/><Relationship Id="rId13" Type="http://schemas.openxmlformats.org/officeDocument/2006/relationships/hyperlink" Target="https://www.ios-resolution.com/ipad-pro-6th-gen-11/" TargetMode="External"/><Relationship Id="rId18" Type="http://schemas.openxmlformats.org/officeDocument/2006/relationships/hyperlink" Target="https://www.ios-resolution.com/iphone-14-pro/" TargetMode="External"/><Relationship Id="rId39" Type="http://schemas.openxmlformats.org/officeDocument/2006/relationships/hyperlink" Target="https://www.ios-resolution.com/iphone-12-pro-max/" TargetMode="External"/><Relationship Id="rId109" Type="http://schemas.openxmlformats.org/officeDocument/2006/relationships/hyperlink" Target="https://www.ios-resolution.com/ipod-touch-2nd-gen/" TargetMode="External"/><Relationship Id="rId34" Type="http://schemas.openxmlformats.org/officeDocument/2006/relationships/hyperlink" Target="https://www.ios-resolution.com/ipad-pro-5th-gen-12-9/" TargetMode="External"/><Relationship Id="rId50" Type="http://schemas.openxmlformats.org/officeDocument/2006/relationships/hyperlink" Target="https://www.ios-resolution.com/iphone-11-pro-max/" TargetMode="External"/><Relationship Id="rId55" Type="http://schemas.openxmlformats.org/officeDocument/2006/relationships/hyperlink" Target="https://www.ios-resolution.com/ipod-touch-7th-gen/" TargetMode="External"/><Relationship Id="rId76" Type="http://schemas.openxmlformats.org/officeDocument/2006/relationships/hyperlink" Target="https://www.ios-resolution.com/apple-watch-series-2-large/" TargetMode="External"/><Relationship Id="rId97" Type="http://schemas.openxmlformats.org/officeDocument/2006/relationships/hyperlink" Target="https://www.ios-resolution.com/ipad-4th-gen/" TargetMode="External"/><Relationship Id="rId104" Type="http://schemas.openxmlformats.org/officeDocument/2006/relationships/hyperlink" Target="https://www.ios-resolution.com/ipod-touch-4th-gen/" TargetMode="External"/><Relationship Id="rId7" Type="http://schemas.openxmlformats.org/officeDocument/2006/relationships/hyperlink" Target="https://www.ios-resolution.com/iphone-15-plus/" TargetMode="External"/><Relationship Id="rId71" Type="http://schemas.openxmlformats.org/officeDocument/2006/relationships/hyperlink" Target="https://www.ios-resolution.com/ipad-pro-2nd-gen-12-9/" TargetMode="External"/><Relationship Id="rId92" Type="http://schemas.openxmlformats.org/officeDocument/2006/relationships/hyperlink" Target="https://www.ios-resolution.com/iphone-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6CC8-3F75-4C75-8690-EAF5F3CF7262}">
  <dimension ref="B1:M113"/>
  <sheetViews>
    <sheetView topLeftCell="A105" zoomScale="85" zoomScaleNormal="85" workbookViewId="0">
      <selection activeCell="M42" sqref="M42:M113"/>
    </sheetView>
  </sheetViews>
  <sheetFormatPr defaultRowHeight="15" x14ac:dyDescent="0.25"/>
  <cols>
    <col min="13" max="13" width="79.28515625" customWidth="1"/>
  </cols>
  <sheetData>
    <row r="1" spans="2:13" ht="45" x14ac:dyDescent="0.25">
      <c r="B1" s="6" t="s">
        <v>59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65</v>
      </c>
      <c r="I1" s="6" t="s">
        <v>66</v>
      </c>
    </row>
    <row r="2" spans="2:13" ht="60" x14ac:dyDescent="0.25">
      <c r="B2" s="1" t="s">
        <v>0</v>
      </c>
      <c r="C2" s="2">
        <v>440</v>
      </c>
      <c r="D2" s="2">
        <v>956</v>
      </c>
      <c r="E2" s="2">
        <v>1320</v>
      </c>
      <c r="F2" s="2">
        <v>2868</v>
      </c>
      <c r="G2" s="2">
        <v>460</v>
      </c>
      <c r="H2" s="2">
        <v>3</v>
      </c>
      <c r="I2" s="2" t="s">
        <v>1</v>
      </c>
      <c r="J2" s="3">
        <v>45544</v>
      </c>
      <c r="M2" s="8" t="str">
        <f>CONCATENATE("else if(w==""",E2,""" &amp;&amp; h==""",F2,"""){
        console.log(""I am a ",B2,"!"");
        dpi=",G2,";
        }")</f>
        <v>else if(w=="1320" &amp;&amp; h=="2868"){
        console.log("I am a iPhone 16 Pro Max!");
        dpi=460;
        }</v>
      </c>
    </row>
    <row r="3" spans="2:13" ht="60" x14ac:dyDescent="0.25">
      <c r="B3" s="1" t="s">
        <v>2</v>
      </c>
      <c r="C3" s="2">
        <v>402</v>
      </c>
      <c r="D3" s="2">
        <v>874</v>
      </c>
      <c r="E3" s="2">
        <v>1206</v>
      </c>
      <c r="F3" s="2">
        <v>2622</v>
      </c>
      <c r="G3" s="2">
        <v>460</v>
      </c>
      <c r="H3" s="2">
        <v>3</v>
      </c>
      <c r="I3" s="2" t="s">
        <v>3</v>
      </c>
      <c r="J3" s="3">
        <v>45544</v>
      </c>
      <c r="M3" s="8" t="str">
        <f>CONCATENATE("else if(w==""",E3,""" &amp;&amp; h==""",F3,"""){
        console.log(""I am a ",B3,"!"");
        dpi=",G3,";
        }")</f>
        <v>else if(w=="1206" &amp;&amp; h=="2622"){
        console.log("I am a iPhone 16 Pro!");
        dpi=460;
        }</v>
      </c>
    </row>
    <row r="4" spans="2:13" ht="60" x14ac:dyDescent="0.25">
      <c r="B4" s="1" t="s">
        <v>4</v>
      </c>
      <c r="C4" s="2">
        <v>430</v>
      </c>
      <c r="D4" s="2">
        <v>932</v>
      </c>
      <c r="E4" s="2">
        <v>1290</v>
      </c>
      <c r="F4" s="2">
        <v>2796</v>
      </c>
      <c r="G4" s="2">
        <v>460</v>
      </c>
      <c r="H4" s="2">
        <v>3</v>
      </c>
      <c r="I4" s="2" t="s">
        <v>5</v>
      </c>
      <c r="J4" s="3">
        <v>45544</v>
      </c>
      <c r="M4" s="8" t="str">
        <f t="shared" ref="M4:M67" si="0">CONCATENATE("else if(w==""",E4,""" &amp;&amp; h==""",F4,"""){
        console.log(""I am a ",B4,"!"");
        dpi=",G4,";
        }")</f>
        <v>else if(w=="1290" &amp;&amp; h=="2796"){
        console.log("I am a iPhone 16 Plus!");
        dpi=460;
        }</v>
      </c>
    </row>
    <row r="5" spans="2:13" ht="60" x14ac:dyDescent="0.25">
      <c r="B5" s="1" t="s">
        <v>6</v>
      </c>
      <c r="C5" s="2">
        <v>393</v>
      </c>
      <c r="D5" s="2">
        <v>852</v>
      </c>
      <c r="E5" s="2">
        <v>1179</v>
      </c>
      <c r="F5" s="2">
        <v>2556</v>
      </c>
      <c r="G5" s="2">
        <v>460</v>
      </c>
      <c r="H5" s="2">
        <v>3</v>
      </c>
      <c r="I5" s="2" t="s">
        <v>7</v>
      </c>
      <c r="J5" s="3">
        <v>45544</v>
      </c>
      <c r="M5" s="8" t="str">
        <f t="shared" si="0"/>
        <v>else if(w=="1179" &amp;&amp; h=="2556"){
        console.log("I am a iPhone 16!");
        dpi=460;
        }</v>
      </c>
    </row>
    <row r="6" spans="2:13" ht="60" x14ac:dyDescent="0.25">
      <c r="B6" s="1" t="s">
        <v>8</v>
      </c>
      <c r="C6" s="4">
        <v>430</v>
      </c>
      <c r="D6" s="4">
        <v>932</v>
      </c>
      <c r="E6" s="4">
        <v>1290</v>
      </c>
      <c r="F6" s="4">
        <v>2796</v>
      </c>
      <c r="G6" s="4">
        <v>460</v>
      </c>
      <c r="H6" s="4">
        <v>3</v>
      </c>
      <c r="I6" s="4" t="s">
        <v>5</v>
      </c>
      <c r="J6" s="5">
        <v>45191</v>
      </c>
      <c r="M6" s="8" t="str">
        <f t="shared" si="0"/>
        <v>else if(w=="1290" &amp;&amp; h=="2796"){
        console.log("I am a iPhone 15 Pro Max!");
        dpi=460;
        }</v>
      </c>
    </row>
    <row r="7" spans="2:13" ht="60" x14ac:dyDescent="0.25">
      <c r="B7" s="1" t="s">
        <v>9</v>
      </c>
      <c r="C7" s="4">
        <v>393</v>
      </c>
      <c r="D7" s="4">
        <v>852</v>
      </c>
      <c r="E7" s="4">
        <v>1179</v>
      </c>
      <c r="F7" s="4">
        <v>2556</v>
      </c>
      <c r="G7" s="4">
        <v>460</v>
      </c>
      <c r="H7" s="4">
        <v>3</v>
      </c>
      <c r="I7" s="4" t="s">
        <v>7</v>
      </c>
      <c r="J7" s="5">
        <v>45191</v>
      </c>
      <c r="M7" s="8" t="str">
        <f t="shared" si="0"/>
        <v>else if(w=="1179" &amp;&amp; h=="2556"){
        console.log("I am a iPhone 15 Pro!");
        dpi=460;
        }</v>
      </c>
    </row>
    <row r="8" spans="2:13" ht="60" x14ac:dyDescent="0.25">
      <c r="B8" s="1" t="s">
        <v>10</v>
      </c>
      <c r="C8" s="4">
        <v>430</v>
      </c>
      <c r="D8" s="4">
        <v>932</v>
      </c>
      <c r="E8" s="4">
        <v>1290</v>
      </c>
      <c r="F8" s="4">
        <v>2796</v>
      </c>
      <c r="G8" s="4">
        <v>460</v>
      </c>
      <c r="H8" s="4">
        <v>3</v>
      </c>
      <c r="I8" s="4" t="s">
        <v>5</v>
      </c>
      <c r="J8" s="5">
        <v>45191</v>
      </c>
      <c r="M8" s="8" t="str">
        <f t="shared" si="0"/>
        <v>else if(w=="1290" &amp;&amp; h=="2796"){
        console.log("I am a iPhone 15 Plus!");
        dpi=460;
        }</v>
      </c>
    </row>
    <row r="9" spans="2:13" ht="60" x14ac:dyDescent="0.25">
      <c r="B9" s="1" t="s">
        <v>11</v>
      </c>
      <c r="C9" s="4">
        <v>393</v>
      </c>
      <c r="D9" s="4">
        <v>852</v>
      </c>
      <c r="E9" s="4">
        <v>1179</v>
      </c>
      <c r="F9" s="4">
        <v>2556</v>
      </c>
      <c r="G9" s="4">
        <v>460</v>
      </c>
      <c r="H9" s="4">
        <v>3</v>
      </c>
      <c r="I9" s="4" t="s">
        <v>7</v>
      </c>
      <c r="J9" s="5">
        <v>45191</v>
      </c>
      <c r="M9" s="8" t="str">
        <f t="shared" si="0"/>
        <v>else if(w=="1179" &amp;&amp; h=="2556"){
        console.log("I am a iPhone 15!");
        dpi=460;
        }</v>
      </c>
    </row>
    <row r="10" spans="2:13" ht="60" x14ac:dyDescent="0.25">
      <c r="B10" s="1" t="s">
        <v>12</v>
      </c>
      <c r="C10" s="4">
        <v>205</v>
      </c>
      <c r="D10" s="4">
        <v>251</v>
      </c>
      <c r="E10" s="4">
        <v>410</v>
      </c>
      <c r="F10" s="4">
        <v>502</v>
      </c>
      <c r="G10" s="4">
        <v>338</v>
      </c>
      <c r="H10" s="4">
        <v>2</v>
      </c>
      <c r="I10" s="4" t="s">
        <v>13</v>
      </c>
      <c r="J10" s="5">
        <v>45191</v>
      </c>
      <c r="M10" s="8" t="str">
        <f t="shared" si="0"/>
        <v>else if(w=="410" &amp;&amp; h=="502"){
        console.log("I am a Apple Watch Ultra 2!");
        dpi=338;
        }</v>
      </c>
    </row>
    <row r="11" spans="2:13" ht="60" x14ac:dyDescent="0.25">
      <c r="B11" s="1" t="s">
        <v>14</v>
      </c>
      <c r="C11" s="4">
        <v>198</v>
      </c>
      <c r="D11" s="4">
        <v>242</v>
      </c>
      <c r="E11" s="4">
        <v>396</v>
      </c>
      <c r="F11" s="4">
        <v>484</v>
      </c>
      <c r="G11" s="4">
        <v>326</v>
      </c>
      <c r="H11" s="4">
        <v>2</v>
      </c>
      <c r="I11" s="4" t="s">
        <v>15</v>
      </c>
      <c r="J11" s="5">
        <v>45191</v>
      </c>
      <c r="M11" s="8" t="str">
        <f t="shared" si="0"/>
        <v>else if(w=="396" &amp;&amp; h=="484"){
        console.log("I am a Apple Watch Series 9 Large!");
        dpi=326;
        }</v>
      </c>
    </row>
    <row r="12" spans="2:13" ht="60" x14ac:dyDescent="0.25">
      <c r="B12" s="1" t="s">
        <v>16</v>
      </c>
      <c r="C12" s="4">
        <v>176</v>
      </c>
      <c r="D12" s="4">
        <v>215</v>
      </c>
      <c r="E12" s="4">
        <v>352</v>
      </c>
      <c r="F12" s="4">
        <v>430</v>
      </c>
      <c r="G12" s="4">
        <v>326</v>
      </c>
      <c r="H12" s="4">
        <v>2</v>
      </c>
      <c r="I12" s="4" t="s">
        <v>17</v>
      </c>
      <c r="J12" s="5">
        <v>45191</v>
      </c>
      <c r="M12" s="8" t="str">
        <f t="shared" si="0"/>
        <v>else if(w=="352" &amp;&amp; h=="430"){
        console.log("I am a Apple Watch Series 9 Small!");
        dpi=326;
        }</v>
      </c>
    </row>
    <row r="13" spans="2:13" ht="60" x14ac:dyDescent="0.25">
      <c r="B13" s="1" t="s">
        <v>18</v>
      </c>
      <c r="C13" s="4">
        <v>1024</v>
      </c>
      <c r="D13" s="4">
        <v>1366</v>
      </c>
      <c r="E13" s="4">
        <v>2048</v>
      </c>
      <c r="F13" s="4">
        <v>2732</v>
      </c>
      <c r="G13" s="4">
        <v>264</v>
      </c>
      <c r="H13" s="4">
        <v>2</v>
      </c>
      <c r="I13" s="4" t="s">
        <v>19</v>
      </c>
      <c r="J13" s="5">
        <v>44860</v>
      </c>
      <c r="M13" s="8" t="str">
        <f t="shared" si="0"/>
        <v>else if(w=="2048" &amp;&amp; h=="2732"){
        console.log("I am a iPad Pro (6th gen 12.9")!");
        dpi=264;
        }</v>
      </c>
    </row>
    <row r="14" spans="2:13" ht="60" x14ac:dyDescent="0.25">
      <c r="B14" s="1" t="s">
        <v>20</v>
      </c>
      <c r="C14" s="4">
        <v>834</v>
      </c>
      <c r="D14" s="4">
        <v>1194</v>
      </c>
      <c r="E14" s="4">
        <v>1668</v>
      </c>
      <c r="F14" s="4">
        <v>2388</v>
      </c>
      <c r="G14" s="4">
        <v>264</v>
      </c>
      <c r="H14" s="4">
        <v>2</v>
      </c>
      <c r="I14" s="4" t="s">
        <v>21</v>
      </c>
      <c r="J14" s="5">
        <v>44860</v>
      </c>
      <c r="M14" s="8" t="str">
        <f t="shared" si="0"/>
        <v>else if(w=="1668" &amp;&amp; h=="2388"){
        console.log("I am a iPad Pro (6th gen 11")!");
        dpi=264;
        }</v>
      </c>
    </row>
    <row r="15" spans="2:13" ht="60" x14ac:dyDescent="0.25">
      <c r="B15" s="1" t="s">
        <v>22</v>
      </c>
      <c r="C15" s="4">
        <v>820</v>
      </c>
      <c r="D15" s="4">
        <v>1180</v>
      </c>
      <c r="E15" s="4">
        <v>1640</v>
      </c>
      <c r="F15" s="4">
        <v>2360</v>
      </c>
      <c r="G15" s="4">
        <v>264</v>
      </c>
      <c r="H15" s="4">
        <v>2</v>
      </c>
      <c r="I15" s="4" t="s">
        <v>23</v>
      </c>
      <c r="J15" s="5">
        <v>44860</v>
      </c>
      <c r="M15" s="8" t="str">
        <f t="shared" si="0"/>
        <v>else if(w=="1640" &amp;&amp; h=="2360"){
        console.log("I am a iPad 10th gen!");
        dpi=264;
        }</v>
      </c>
    </row>
    <row r="16" spans="2:13" ht="60" x14ac:dyDescent="0.25">
      <c r="B16" s="1" t="s">
        <v>24</v>
      </c>
      <c r="C16" s="4">
        <v>428</v>
      </c>
      <c r="D16" s="4">
        <v>926</v>
      </c>
      <c r="E16" s="4">
        <v>1284</v>
      </c>
      <c r="F16" s="4">
        <v>2778</v>
      </c>
      <c r="G16" s="4">
        <v>458</v>
      </c>
      <c r="H16" s="4">
        <v>3</v>
      </c>
      <c r="I16" s="4" t="s">
        <v>5</v>
      </c>
      <c r="J16" s="5">
        <v>44841</v>
      </c>
      <c r="M16" s="8" t="str">
        <f t="shared" si="0"/>
        <v>else if(w=="1284" &amp;&amp; h=="2778"){
        console.log("I am a iPhone 14 Plus!");
        dpi=458;
        }</v>
      </c>
    </row>
    <row r="17" spans="2:13" ht="60" x14ac:dyDescent="0.25">
      <c r="B17" s="1" t="s">
        <v>25</v>
      </c>
      <c r="C17" s="4">
        <v>205</v>
      </c>
      <c r="D17" s="4">
        <v>251</v>
      </c>
      <c r="E17" s="4">
        <v>410</v>
      </c>
      <c r="F17" s="4">
        <v>502</v>
      </c>
      <c r="G17" s="4">
        <v>338</v>
      </c>
      <c r="H17" s="4">
        <v>2</v>
      </c>
      <c r="I17" s="4" t="s">
        <v>13</v>
      </c>
      <c r="J17" s="5">
        <v>44827</v>
      </c>
      <c r="M17" s="8" t="str">
        <f t="shared" si="0"/>
        <v>else if(w=="410" &amp;&amp; h=="502"){
        console.log("I am a Apple Watch Ultra!");
        dpi=338;
        }</v>
      </c>
    </row>
    <row r="18" spans="2:13" ht="60" x14ac:dyDescent="0.25">
      <c r="B18" s="1" t="s">
        <v>26</v>
      </c>
      <c r="C18" s="4">
        <v>430</v>
      </c>
      <c r="D18" s="4">
        <v>932</v>
      </c>
      <c r="E18" s="4">
        <v>1290</v>
      </c>
      <c r="F18" s="4">
        <v>2796</v>
      </c>
      <c r="G18" s="4">
        <v>460</v>
      </c>
      <c r="H18" s="4">
        <v>3</v>
      </c>
      <c r="I18" s="4" t="s">
        <v>5</v>
      </c>
      <c r="J18" s="5">
        <v>44820</v>
      </c>
      <c r="M18" s="8" t="str">
        <f t="shared" si="0"/>
        <v>else if(w=="1290" &amp;&amp; h=="2796"){
        console.log("I am a iPhone 14 Pro Max!");
        dpi=460;
        }</v>
      </c>
    </row>
    <row r="19" spans="2:13" ht="60" x14ac:dyDescent="0.25">
      <c r="B19" s="1" t="s">
        <v>27</v>
      </c>
      <c r="C19" s="4">
        <v>393</v>
      </c>
      <c r="D19" s="4">
        <v>852</v>
      </c>
      <c r="E19" s="4">
        <v>1179</v>
      </c>
      <c r="F19" s="4">
        <v>2556</v>
      </c>
      <c r="G19" s="4">
        <v>460</v>
      </c>
      <c r="H19" s="4">
        <v>3</v>
      </c>
      <c r="I19" s="4" t="s">
        <v>7</v>
      </c>
      <c r="J19" s="5">
        <v>44820</v>
      </c>
      <c r="M19" s="8" t="str">
        <f t="shared" si="0"/>
        <v>else if(w=="1179" &amp;&amp; h=="2556"){
        console.log("I am a iPhone 14 Pro!");
        dpi=460;
        }</v>
      </c>
    </row>
    <row r="20" spans="2:13" ht="60" x14ac:dyDescent="0.25">
      <c r="B20" s="1" t="s">
        <v>28</v>
      </c>
      <c r="C20" s="4">
        <v>390</v>
      </c>
      <c r="D20" s="4">
        <v>844</v>
      </c>
      <c r="E20" s="4">
        <v>1170</v>
      </c>
      <c r="F20" s="4">
        <v>2532</v>
      </c>
      <c r="G20" s="4">
        <v>460</v>
      </c>
      <c r="H20" s="4">
        <v>3</v>
      </c>
      <c r="I20" s="4" t="s">
        <v>7</v>
      </c>
      <c r="J20" s="5">
        <v>44820</v>
      </c>
      <c r="M20" s="8" t="str">
        <f t="shared" si="0"/>
        <v>else if(w=="1170" &amp;&amp; h=="2532"){
        console.log("I am a iPhone 14!");
        dpi=460;
        }</v>
      </c>
    </row>
    <row r="21" spans="2:13" ht="60" x14ac:dyDescent="0.25">
      <c r="B21" s="1" t="s">
        <v>29</v>
      </c>
      <c r="C21" s="4">
        <v>198</v>
      </c>
      <c r="D21" s="4">
        <v>242</v>
      </c>
      <c r="E21" s="4">
        <v>396</v>
      </c>
      <c r="F21" s="4">
        <v>484</v>
      </c>
      <c r="G21" s="4">
        <v>326</v>
      </c>
      <c r="H21" s="4">
        <v>2</v>
      </c>
      <c r="I21" s="4" t="s">
        <v>15</v>
      </c>
      <c r="J21" s="5">
        <v>44820</v>
      </c>
      <c r="M21" s="8" t="str">
        <f t="shared" si="0"/>
        <v>else if(w=="396" &amp;&amp; h=="484"){
        console.log("I am a Apple Watch Series 8 Large!");
        dpi=326;
        }</v>
      </c>
    </row>
    <row r="22" spans="2:13" ht="60" x14ac:dyDescent="0.25">
      <c r="B22" s="1" t="s">
        <v>30</v>
      </c>
      <c r="C22" s="4">
        <v>176</v>
      </c>
      <c r="D22" s="4">
        <v>215</v>
      </c>
      <c r="E22" s="4">
        <v>352</v>
      </c>
      <c r="F22" s="4">
        <v>430</v>
      </c>
      <c r="G22" s="4">
        <v>326</v>
      </c>
      <c r="H22" s="4">
        <v>2</v>
      </c>
      <c r="I22" s="4" t="s">
        <v>17</v>
      </c>
      <c r="J22" s="5">
        <v>44820</v>
      </c>
      <c r="M22" s="8" t="str">
        <f t="shared" si="0"/>
        <v>else if(w=="352" &amp;&amp; h=="430"){
        console.log("I am a Apple Watch Series 8 Small!");
        dpi=326;
        }</v>
      </c>
    </row>
    <row r="23" spans="2:13" ht="60" x14ac:dyDescent="0.25">
      <c r="B23" s="1" t="s">
        <v>31</v>
      </c>
      <c r="C23" s="4">
        <v>184</v>
      </c>
      <c r="D23" s="4">
        <v>224</v>
      </c>
      <c r="E23" s="4">
        <v>368</v>
      </c>
      <c r="F23" s="4">
        <v>448</v>
      </c>
      <c r="G23" s="4">
        <v>326</v>
      </c>
      <c r="H23" s="4">
        <v>2</v>
      </c>
      <c r="I23" s="4" t="s">
        <v>32</v>
      </c>
      <c r="J23" s="5">
        <v>44820</v>
      </c>
      <c r="M23" s="8" t="str">
        <f t="shared" si="0"/>
        <v>else if(w=="368" &amp;&amp; h=="448"){
        console.log("I am a Apple Watch SE (2nd) Large!");
        dpi=326;
        }</v>
      </c>
    </row>
    <row r="24" spans="2:13" ht="60" x14ac:dyDescent="0.25">
      <c r="B24" s="1" t="s">
        <v>33</v>
      </c>
      <c r="C24" s="4">
        <v>162</v>
      </c>
      <c r="D24" s="4">
        <v>197</v>
      </c>
      <c r="E24" s="4">
        <v>324</v>
      </c>
      <c r="F24" s="4">
        <v>394</v>
      </c>
      <c r="G24" s="4">
        <v>326</v>
      </c>
      <c r="H24" s="4">
        <v>2</v>
      </c>
      <c r="I24" s="4" t="s">
        <v>34</v>
      </c>
      <c r="J24" s="5">
        <v>44820</v>
      </c>
      <c r="M24" s="8" t="str">
        <f t="shared" si="0"/>
        <v>else if(w=="324" &amp;&amp; h=="394"){
        console.log("I am a Apple Watch SE (2nd) Small!");
        dpi=326;
        }</v>
      </c>
    </row>
    <row r="25" spans="2:13" ht="60" x14ac:dyDescent="0.25">
      <c r="B25" s="1" t="s">
        <v>35</v>
      </c>
      <c r="C25" s="4">
        <v>375</v>
      </c>
      <c r="D25" s="4">
        <v>667</v>
      </c>
      <c r="E25" s="4">
        <v>750</v>
      </c>
      <c r="F25" s="4">
        <v>1334</v>
      </c>
      <c r="G25" s="4">
        <v>326</v>
      </c>
      <c r="H25" s="4">
        <v>2</v>
      </c>
      <c r="I25" s="4" t="s">
        <v>36</v>
      </c>
      <c r="J25" s="5">
        <v>44628</v>
      </c>
      <c r="M25" s="8" t="str">
        <f t="shared" si="0"/>
        <v>else if(w=="750" &amp;&amp; h=="1334"){
        console.log("I am a iPhone SE 3rd gen!");
        dpi=326;
        }</v>
      </c>
    </row>
    <row r="26" spans="2:13" ht="60" x14ac:dyDescent="0.25">
      <c r="B26" s="1" t="s">
        <v>37</v>
      </c>
      <c r="C26" s="4">
        <v>820</v>
      </c>
      <c r="D26" s="4">
        <v>1180</v>
      </c>
      <c r="E26" s="4">
        <v>1640</v>
      </c>
      <c r="F26" s="4">
        <v>2360</v>
      </c>
      <c r="G26" s="4">
        <v>264</v>
      </c>
      <c r="H26" s="4">
        <v>2</v>
      </c>
      <c r="I26" s="4" t="s">
        <v>23</v>
      </c>
      <c r="J26" s="5">
        <v>44628</v>
      </c>
      <c r="M26" s="8" t="str">
        <f t="shared" si="0"/>
        <v>else if(w=="1640" &amp;&amp; h=="2360"){
        console.log("I am a iPad Air (5th gen)!");
        dpi=264;
        }</v>
      </c>
    </row>
    <row r="27" spans="2:13" ht="60" x14ac:dyDescent="0.25">
      <c r="B27" s="1" t="s">
        <v>38</v>
      </c>
      <c r="C27" s="4">
        <v>198</v>
      </c>
      <c r="D27" s="4">
        <v>242</v>
      </c>
      <c r="E27" s="4">
        <v>396</v>
      </c>
      <c r="F27" s="4">
        <v>484</v>
      </c>
      <c r="G27" s="4">
        <v>326</v>
      </c>
      <c r="H27" s="4">
        <v>2</v>
      </c>
      <c r="I27" s="4" t="s">
        <v>15</v>
      </c>
      <c r="J27" s="5">
        <v>44484</v>
      </c>
      <c r="M27" s="8" t="str">
        <f t="shared" si="0"/>
        <v>else if(w=="396" &amp;&amp; h=="484"){
        console.log("I am a Apple Watch Series 7 Large!");
        dpi=326;
        }</v>
      </c>
    </row>
    <row r="28" spans="2:13" ht="60" x14ac:dyDescent="0.25">
      <c r="B28" s="1" t="s">
        <v>39</v>
      </c>
      <c r="C28" s="4">
        <v>176</v>
      </c>
      <c r="D28" s="4">
        <v>215</v>
      </c>
      <c r="E28" s="4">
        <v>352</v>
      </c>
      <c r="F28" s="4">
        <v>430</v>
      </c>
      <c r="G28" s="4">
        <v>326</v>
      </c>
      <c r="H28" s="4">
        <v>2</v>
      </c>
      <c r="I28" s="4" t="s">
        <v>17</v>
      </c>
      <c r="J28" s="5">
        <v>44484</v>
      </c>
      <c r="M28" s="8" t="str">
        <f t="shared" si="0"/>
        <v>else if(w=="352" &amp;&amp; h=="430"){
        console.log("I am a Apple Watch Series 7 Small!");
        dpi=326;
        }</v>
      </c>
    </row>
    <row r="29" spans="2:13" ht="60" x14ac:dyDescent="0.25">
      <c r="B29" s="1" t="s">
        <v>40</v>
      </c>
      <c r="C29" s="4">
        <v>744</v>
      </c>
      <c r="D29" s="4">
        <v>1133</v>
      </c>
      <c r="E29" s="4">
        <v>1488</v>
      </c>
      <c r="F29" s="4">
        <v>2266</v>
      </c>
      <c r="G29" s="4">
        <v>326</v>
      </c>
      <c r="H29" s="4">
        <v>2</v>
      </c>
      <c r="I29" s="4" t="s">
        <v>41</v>
      </c>
      <c r="J29" s="5">
        <v>44463</v>
      </c>
      <c r="M29" s="8" t="str">
        <f t="shared" si="0"/>
        <v>else if(w=="1488" &amp;&amp; h=="2266"){
        console.log("I am a iPad Mini (6th gen)!");
        dpi=326;
        }</v>
      </c>
    </row>
    <row r="30" spans="2:13" ht="60" x14ac:dyDescent="0.25">
      <c r="B30" s="1" t="s">
        <v>42</v>
      </c>
      <c r="C30" s="4">
        <v>390</v>
      </c>
      <c r="D30" s="4">
        <v>844</v>
      </c>
      <c r="E30" s="4">
        <v>1170</v>
      </c>
      <c r="F30" s="4">
        <v>2532</v>
      </c>
      <c r="G30" s="4">
        <v>460</v>
      </c>
      <c r="H30" s="4">
        <v>3</v>
      </c>
      <c r="I30" s="4" t="s">
        <v>43</v>
      </c>
      <c r="J30" s="5">
        <v>44453</v>
      </c>
      <c r="M30" s="8" t="str">
        <f t="shared" si="0"/>
        <v>else if(w=="1170" &amp;&amp; h=="2532"){
        console.log("I am a iPhone 13!");
        dpi=460;
        }</v>
      </c>
    </row>
    <row r="31" spans="2:13" ht="60" x14ac:dyDescent="0.25">
      <c r="B31" s="1" t="s">
        <v>44</v>
      </c>
      <c r="C31" s="4">
        <v>375</v>
      </c>
      <c r="D31" s="4">
        <v>812</v>
      </c>
      <c r="E31" s="4">
        <v>1080</v>
      </c>
      <c r="F31" s="4">
        <v>2340</v>
      </c>
      <c r="G31" s="4">
        <v>476</v>
      </c>
      <c r="H31" s="4">
        <v>3</v>
      </c>
      <c r="I31" s="4" t="s">
        <v>45</v>
      </c>
      <c r="J31" s="5">
        <v>44453</v>
      </c>
      <c r="M31" s="8" t="str">
        <f t="shared" si="0"/>
        <v>else if(w=="1080" &amp;&amp; h=="2340"){
        console.log("I am a iPhone 13 mini!");
        dpi=476;
        }</v>
      </c>
    </row>
    <row r="32" spans="2:13" ht="60" x14ac:dyDescent="0.25">
      <c r="B32" s="1" t="s">
        <v>46</v>
      </c>
      <c r="C32" s="4">
        <v>428</v>
      </c>
      <c r="D32" s="4">
        <v>926</v>
      </c>
      <c r="E32" s="4">
        <v>1284</v>
      </c>
      <c r="F32" s="4">
        <v>2778</v>
      </c>
      <c r="G32" s="4">
        <v>458</v>
      </c>
      <c r="H32" s="4">
        <v>3</v>
      </c>
      <c r="I32" s="4" t="s">
        <v>47</v>
      </c>
      <c r="J32" s="5">
        <v>44453</v>
      </c>
      <c r="M32" s="8" t="str">
        <f t="shared" si="0"/>
        <v>else if(w=="1284" &amp;&amp; h=="2778"){
        console.log("I am a iPhone 13 Pro Max!");
        dpi=458;
        }</v>
      </c>
    </row>
    <row r="33" spans="2:13" ht="60" x14ac:dyDescent="0.25">
      <c r="B33" s="1" t="s">
        <v>48</v>
      </c>
      <c r="C33" s="4">
        <v>390</v>
      </c>
      <c r="D33" s="4">
        <v>844</v>
      </c>
      <c r="E33" s="4">
        <v>1170</v>
      </c>
      <c r="F33" s="4">
        <v>2532</v>
      </c>
      <c r="G33" s="4">
        <v>460</v>
      </c>
      <c r="H33" s="4">
        <v>3</v>
      </c>
      <c r="I33" s="4" t="s">
        <v>43</v>
      </c>
      <c r="J33" s="5">
        <v>44453</v>
      </c>
      <c r="M33" s="8" t="str">
        <f t="shared" si="0"/>
        <v>else if(w=="1170" &amp;&amp; h=="2532"){
        console.log("I am a iPhone 13 Pro!");
        dpi=460;
        }</v>
      </c>
    </row>
    <row r="34" spans="2:13" ht="60" x14ac:dyDescent="0.25">
      <c r="B34" s="1" t="s">
        <v>49</v>
      </c>
      <c r="C34" s="4">
        <v>810</v>
      </c>
      <c r="D34" s="4">
        <v>1080</v>
      </c>
      <c r="E34" s="4">
        <v>1620</v>
      </c>
      <c r="F34" s="4">
        <v>2160</v>
      </c>
      <c r="G34" s="4">
        <v>264</v>
      </c>
      <c r="H34" s="4">
        <v>2</v>
      </c>
      <c r="I34" s="4" t="s">
        <v>50</v>
      </c>
      <c r="J34" s="5">
        <v>44453</v>
      </c>
      <c r="M34" s="8" t="str">
        <f t="shared" si="0"/>
        <v>else if(w=="1620" &amp;&amp; h=="2160"){
        console.log("I am a iPad 9th gen!");
        dpi=264;
        }</v>
      </c>
    </row>
    <row r="35" spans="2:13" ht="60" x14ac:dyDescent="0.25">
      <c r="B35" s="1" t="s">
        <v>51</v>
      </c>
      <c r="C35" s="4">
        <v>1024</v>
      </c>
      <c r="D35" s="4">
        <v>1366</v>
      </c>
      <c r="E35" s="4">
        <v>2048</v>
      </c>
      <c r="F35" s="4">
        <v>2732</v>
      </c>
      <c r="G35" s="4">
        <v>264</v>
      </c>
      <c r="H35" s="4">
        <v>2</v>
      </c>
      <c r="I35" s="4" t="s">
        <v>19</v>
      </c>
      <c r="J35" s="5">
        <v>44337</v>
      </c>
      <c r="M35" s="8" t="str">
        <f t="shared" si="0"/>
        <v>else if(w=="2048" &amp;&amp; h=="2732"){
        console.log("I am a iPad Pro (5th gen 12.9")!");
        dpi=264;
        }</v>
      </c>
    </row>
    <row r="36" spans="2:13" ht="60" x14ac:dyDescent="0.25">
      <c r="B36" s="1" t="s">
        <v>52</v>
      </c>
      <c r="C36" s="4">
        <v>834</v>
      </c>
      <c r="D36" s="4">
        <v>1194</v>
      </c>
      <c r="E36" s="4">
        <v>1668</v>
      </c>
      <c r="F36" s="4">
        <v>2388</v>
      </c>
      <c r="G36" s="4">
        <v>264</v>
      </c>
      <c r="H36" s="4">
        <v>2</v>
      </c>
      <c r="I36" s="4" t="s">
        <v>21</v>
      </c>
      <c r="J36" s="5">
        <v>44337</v>
      </c>
      <c r="M36" s="8" t="str">
        <f t="shared" si="0"/>
        <v>else if(w=="1668" &amp;&amp; h=="2388"){
        console.log("I am a iPad Pro (5th gen 11")!");
        dpi=264;
        }</v>
      </c>
    </row>
    <row r="37" spans="2:13" ht="60" x14ac:dyDescent="0.25">
      <c r="B37" s="1" t="s">
        <v>53</v>
      </c>
      <c r="C37" s="4">
        <v>820</v>
      </c>
      <c r="D37" s="4">
        <v>1180</v>
      </c>
      <c r="E37" s="4">
        <v>1640</v>
      </c>
      <c r="F37" s="4">
        <v>2360</v>
      </c>
      <c r="G37" s="4">
        <v>264</v>
      </c>
      <c r="H37" s="4">
        <v>2</v>
      </c>
      <c r="I37" s="4" t="s">
        <v>23</v>
      </c>
      <c r="J37" s="5">
        <v>44127</v>
      </c>
      <c r="M37" s="8" t="str">
        <f t="shared" si="0"/>
        <v>else if(w=="1640" &amp;&amp; h=="2360"){
        console.log("I am a iPad Air (4th gen)!");
        dpi=264;
        }</v>
      </c>
    </row>
    <row r="38" spans="2:13" ht="60" x14ac:dyDescent="0.25">
      <c r="B38" s="1" t="s">
        <v>54</v>
      </c>
      <c r="C38" s="4">
        <v>390</v>
      </c>
      <c r="D38" s="4">
        <v>844</v>
      </c>
      <c r="E38" s="4">
        <v>1170</v>
      </c>
      <c r="F38" s="4">
        <v>2532</v>
      </c>
      <c r="G38" s="4">
        <v>460</v>
      </c>
      <c r="H38" s="4">
        <v>3</v>
      </c>
      <c r="I38" s="4" t="s">
        <v>43</v>
      </c>
      <c r="J38" s="5">
        <v>44117</v>
      </c>
      <c r="M38" s="8" t="str">
        <f t="shared" si="0"/>
        <v>else if(w=="1170" &amp;&amp; h=="2532"){
        console.log("I am a iPhone 12!");
        dpi=460;
        }</v>
      </c>
    </row>
    <row r="39" spans="2:13" ht="60" x14ac:dyDescent="0.25">
      <c r="B39" s="1" t="s">
        <v>55</v>
      </c>
      <c r="C39" s="4">
        <v>375</v>
      </c>
      <c r="D39" s="4">
        <v>812</v>
      </c>
      <c r="E39" s="4">
        <v>1080</v>
      </c>
      <c r="F39" s="4">
        <v>2340</v>
      </c>
      <c r="G39" s="4">
        <v>476</v>
      </c>
      <c r="H39" s="4">
        <v>3</v>
      </c>
      <c r="I39" s="4" t="s">
        <v>45</v>
      </c>
      <c r="J39" s="5">
        <v>44117</v>
      </c>
      <c r="M39" s="8" t="str">
        <f t="shared" si="0"/>
        <v>else if(w=="1080" &amp;&amp; h=="2340"){
        console.log("I am a iPhone 12 mini!");
        dpi=476;
        }</v>
      </c>
    </row>
    <row r="40" spans="2:13" ht="60" x14ac:dyDescent="0.25">
      <c r="B40" s="1" t="s">
        <v>56</v>
      </c>
      <c r="C40" s="4">
        <v>428</v>
      </c>
      <c r="D40" s="4">
        <v>926</v>
      </c>
      <c r="E40" s="4">
        <v>1284</v>
      </c>
      <c r="F40" s="4">
        <v>2778</v>
      </c>
      <c r="G40" s="4">
        <v>458</v>
      </c>
      <c r="H40" s="4">
        <v>3</v>
      </c>
      <c r="I40" s="4" t="s">
        <v>47</v>
      </c>
      <c r="J40" s="5">
        <v>44117</v>
      </c>
      <c r="M40" s="8" t="str">
        <f t="shared" si="0"/>
        <v>else if(w=="1284" &amp;&amp; h=="2778"){
        console.log("I am a iPhone 12 Pro Max!");
        dpi=458;
        }</v>
      </c>
    </row>
    <row r="41" spans="2:13" ht="60" x14ac:dyDescent="0.25">
      <c r="B41" s="1" t="s">
        <v>57</v>
      </c>
      <c r="C41" s="4">
        <v>390</v>
      </c>
      <c r="D41" s="4">
        <v>844</v>
      </c>
      <c r="E41" s="4">
        <v>1170</v>
      </c>
      <c r="F41" s="4">
        <v>2532</v>
      </c>
      <c r="G41" s="4">
        <v>460</v>
      </c>
      <c r="H41" s="4">
        <v>3</v>
      </c>
      <c r="I41" s="4" t="s">
        <v>43</v>
      </c>
      <c r="J41" s="5">
        <v>44117</v>
      </c>
      <c r="M41" s="8" t="str">
        <f t="shared" si="0"/>
        <v>else if(w=="1170" &amp;&amp; h=="2532"){
        console.log("I am a iPhone 12 Pro!");
        dpi=460;
        }</v>
      </c>
    </row>
    <row r="42" spans="2:13" ht="60" x14ac:dyDescent="0.25">
      <c r="B42" s="1" t="s">
        <v>58</v>
      </c>
      <c r="C42" s="4">
        <v>810</v>
      </c>
      <c r="D42" s="4">
        <v>1080</v>
      </c>
      <c r="E42" s="4">
        <v>1620</v>
      </c>
      <c r="F42" s="4">
        <v>2160</v>
      </c>
      <c r="G42" s="4">
        <v>264</v>
      </c>
      <c r="H42" s="4">
        <v>2</v>
      </c>
      <c r="I42" s="4" t="s">
        <v>50</v>
      </c>
      <c r="J42" s="5">
        <v>44092</v>
      </c>
      <c r="M42" s="8" t="str">
        <f t="shared" si="0"/>
        <v>else if(w=="1620" &amp;&amp; h=="2160"){
        console.log("I am a iPad 8th gen!");
        dpi=264;
        }</v>
      </c>
    </row>
    <row r="43" spans="2:13" ht="60" x14ac:dyDescent="0.25">
      <c r="B43" s="1" t="s">
        <v>67</v>
      </c>
      <c r="C43" s="4">
        <v>184</v>
      </c>
      <c r="D43" s="4">
        <v>224</v>
      </c>
      <c r="E43" s="4">
        <v>368</v>
      </c>
      <c r="F43" s="4">
        <v>448</v>
      </c>
      <c r="G43" s="4">
        <v>326</v>
      </c>
      <c r="H43" s="4">
        <v>2</v>
      </c>
      <c r="I43" s="4" t="s">
        <v>32</v>
      </c>
      <c r="J43" s="5">
        <v>44092</v>
      </c>
      <c r="M43" s="8" t="str">
        <f t="shared" si="0"/>
        <v>else if(w=="368" &amp;&amp; h=="448"){
        console.log("I am a Apple Watch Series 6 Large!");
        dpi=326;
        }</v>
      </c>
    </row>
    <row r="44" spans="2:13" ht="60" x14ac:dyDescent="0.25">
      <c r="B44" s="1" t="s">
        <v>68</v>
      </c>
      <c r="C44" s="4">
        <v>162</v>
      </c>
      <c r="D44" s="4">
        <v>197</v>
      </c>
      <c r="E44" s="4">
        <v>324</v>
      </c>
      <c r="F44" s="4">
        <v>394</v>
      </c>
      <c r="G44" s="4">
        <v>326</v>
      </c>
      <c r="H44" s="4">
        <v>2</v>
      </c>
      <c r="I44" s="4" t="s">
        <v>34</v>
      </c>
      <c r="J44" s="5">
        <v>44092</v>
      </c>
      <c r="M44" s="8" t="str">
        <f t="shared" si="0"/>
        <v>else if(w=="324" &amp;&amp; h=="394"){
        console.log("I am a Apple Watch Series 6 Small!");
        dpi=326;
        }</v>
      </c>
    </row>
    <row r="45" spans="2:13" ht="60" x14ac:dyDescent="0.25">
      <c r="B45" s="1" t="s">
        <v>69</v>
      </c>
      <c r="C45" s="4">
        <v>184</v>
      </c>
      <c r="D45" s="4">
        <v>224</v>
      </c>
      <c r="E45" s="4">
        <v>368</v>
      </c>
      <c r="F45" s="4">
        <v>448</v>
      </c>
      <c r="G45" s="4">
        <v>326</v>
      </c>
      <c r="H45" s="4">
        <v>2</v>
      </c>
      <c r="I45" s="4" t="s">
        <v>32</v>
      </c>
      <c r="J45" s="5">
        <v>44092</v>
      </c>
      <c r="M45" s="8" t="str">
        <f t="shared" si="0"/>
        <v>else if(w=="368" &amp;&amp; h=="448"){
        console.log("I am a Apple Watch SE (1st) Large!");
        dpi=326;
        }</v>
      </c>
    </row>
    <row r="46" spans="2:13" ht="60" x14ac:dyDescent="0.25">
      <c r="B46" s="1" t="s">
        <v>70</v>
      </c>
      <c r="C46" s="4">
        <v>162</v>
      </c>
      <c r="D46" s="4">
        <v>197</v>
      </c>
      <c r="E46" s="4">
        <v>324</v>
      </c>
      <c r="F46" s="4">
        <v>394</v>
      </c>
      <c r="G46" s="4">
        <v>326</v>
      </c>
      <c r="H46" s="4">
        <v>2</v>
      </c>
      <c r="I46" s="4" t="s">
        <v>34</v>
      </c>
      <c r="J46" s="5">
        <v>44092</v>
      </c>
      <c r="M46" s="8" t="str">
        <f t="shared" si="0"/>
        <v>else if(w=="324" &amp;&amp; h=="394"){
        console.log("I am a Apple Watch SE (1st) Small!");
        dpi=326;
        }</v>
      </c>
    </row>
    <row r="47" spans="2:13" ht="60" x14ac:dyDescent="0.25">
      <c r="B47" s="1" t="s">
        <v>71</v>
      </c>
      <c r="C47" s="4">
        <v>375</v>
      </c>
      <c r="D47" s="4">
        <v>667</v>
      </c>
      <c r="E47" s="4">
        <v>750</v>
      </c>
      <c r="F47" s="4">
        <v>1334</v>
      </c>
      <c r="G47" s="4">
        <v>326</v>
      </c>
      <c r="H47" s="4">
        <v>2</v>
      </c>
      <c r="I47" s="4" t="s">
        <v>36</v>
      </c>
      <c r="J47" s="5">
        <v>43945</v>
      </c>
      <c r="M47" s="8" t="str">
        <f t="shared" si="0"/>
        <v>else if(w=="750" &amp;&amp; h=="1334"){
        console.log("I am a iPhone SE 2nd gen!");
        dpi=326;
        }</v>
      </c>
    </row>
    <row r="48" spans="2:13" ht="60" x14ac:dyDescent="0.25">
      <c r="B48" s="1" t="s">
        <v>72</v>
      </c>
      <c r="C48" s="4">
        <v>1024</v>
      </c>
      <c r="D48" s="4">
        <v>1366</v>
      </c>
      <c r="E48" s="4">
        <v>2048</v>
      </c>
      <c r="F48" s="4">
        <v>2732</v>
      </c>
      <c r="G48" s="4">
        <v>264</v>
      </c>
      <c r="H48" s="4">
        <v>2</v>
      </c>
      <c r="I48" s="4" t="s">
        <v>19</v>
      </c>
      <c r="J48" s="5">
        <v>43915</v>
      </c>
      <c r="M48" s="8" t="str">
        <f t="shared" si="0"/>
        <v>else if(w=="2048" &amp;&amp; h=="2732"){
        console.log("I am a iPad Pro (4th gen 12.9")!");
        dpi=264;
        }</v>
      </c>
    </row>
    <row r="49" spans="2:13" ht="60" x14ac:dyDescent="0.25">
      <c r="B49" s="1" t="s">
        <v>73</v>
      </c>
      <c r="C49" s="4">
        <v>834</v>
      </c>
      <c r="D49" s="4">
        <v>1194</v>
      </c>
      <c r="E49" s="4">
        <v>1668</v>
      </c>
      <c r="F49" s="4">
        <v>2388</v>
      </c>
      <c r="G49" s="4">
        <v>264</v>
      </c>
      <c r="H49" s="4">
        <v>2</v>
      </c>
      <c r="I49" s="4" t="s">
        <v>21</v>
      </c>
      <c r="J49" s="5">
        <v>43915</v>
      </c>
      <c r="M49" s="8" t="str">
        <f t="shared" si="0"/>
        <v>else if(w=="1668" &amp;&amp; h=="2388"){
        console.log("I am a iPad Pro (4th gen 11")!");
        dpi=264;
        }</v>
      </c>
    </row>
    <row r="50" spans="2:13" ht="60" x14ac:dyDescent="0.25">
      <c r="B50" s="1" t="s">
        <v>74</v>
      </c>
      <c r="C50" s="4">
        <v>810</v>
      </c>
      <c r="D50" s="4">
        <v>1080</v>
      </c>
      <c r="E50" s="4">
        <v>1620</v>
      </c>
      <c r="F50" s="4">
        <v>2160</v>
      </c>
      <c r="G50" s="4">
        <v>264</v>
      </c>
      <c r="H50" s="4">
        <v>2</v>
      </c>
      <c r="I50" s="4" t="s">
        <v>50</v>
      </c>
      <c r="J50" s="5">
        <v>43733</v>
      </c>
      <c r="M50" s="8" t="str">
        <f t="shared" si="0"/>
        <v>else if(w=="1620" &amp;&amp; h=="2160"){
        console.log("I am a iPad 7th gen!");
        dpi=264;
        }</v>
      </c>
    </row>
    <row r="51" spans="2:13" ht="60" x14ac:dyDescent="0.25">
      <c r="B51" s="1" t="s">
        <v>75</v>
      </c>
      <c r="C51" s="4">
        <v>414</v>
      </c>
      <c r="D51" s="4">
        <v>896</v>
      </c>
      <c r="E51" s="4">
        <v>1242</v>
      </c>
      <c r="F51" s="4">
        <v>2688</v>
      </c>
      <c r="G51" s="4">
        <v>458</v>
      </c>
      <c r="H51" s="4">
        <v>3</v>
      </c>
      <c r="I51" s="4" t="s">
        <v>76</v>
      </c>
      <c r="J51" s="5">
        <v>43728</v>
      </c>
      <c r="M51" s="8" t="str">
        <f t="shared" si="0"/>
        <v>else if(w=="1242" &amp;&amp; h=="2688"){
        console.log("I am a iPhone 11 Pro Max!");
        dpi=458;
        }</v>
      </c>
    </row>
    <row r="52" spans="2:13" ht="60" x14ac:dyDescent="0.25">
      <c r="B52" s="1" t="s">
        <v>77</v>
      </c>
      <c r="C52" s="4">
        <v>375</v>
      </c>
      <c r="D52" s="4">
        <v>812</v>
      </c>
      <c r="E52" s="4">
        <v>1125</v>
      </c>
      <c r="F52" s="4">
        <v>2436</v>
      </c>
      <c r="G52" s="4">
        <v>458</v>
      </c>
      <c r="H52" s="4">
        <v>3</v>
      </c>
      <c r="I52" s="4" t="s">
        <v>78</v>
      </c>
      <c r="J52" s="5">
        <v>43728</v>
      </c>
      <c r="M52" s="8" t="str">
        <f t="shared" si="0"/>
        <v>else if(w=="1125" &amp;&amp; h=="2436"){
        console.log("I am a iPhone 11 Pro!");
        dpi=458;
        }</v>
      </c>
    </row>
    <row r="53" spans="2:13" ht="60" x14ac:dyDescent="0.25">
      <c r="B53" s="1" t="s">
        <v>79</v>
      </c>
      <c r="C53" s="4">
        <v>414</v>
      </c>
      <c r="D53" s="4">
        <v>896</v>
      </c>
      <c r="E53" s="4">
        <v>828</v>
      </c>
      <c r="F53" s="4">
        <v>1792</v>
      </c>
      <c r="G53" s="4">
        <v>326</v>
      </c>
      <c r="H53" s="4">
        <v>2</v>
      </c>
      <c r="I53" s="4" t="s">
        <v>7</v>
      </c>
      <c r="J53" s="5">
        <v>43728</v>
      </c>
      <c r="M53" s="8" t="str">
        <f t="shared" si="0"/>
        <v>else if(w=="828" &amp;&amp; h=="1792"){
        console.log("I am a iPhone 11!");
        dpi=326;
        }</v>
      </c>
    </row>
    <row r="54" spans="2:13" ht="60" x14ac:dyDescent="0.25">
      <c r="B54" s="1" t="s">
        <v>80</v>
      </c>
      <c r="C54" s="4">
        <v>184</v>
      </c>
      <c r="D54" s="4">
        <v>224</v>
      </c>
      <c r="E54" s="4">
        <v>368</v>
      </c>
      <c r="F54" s="4">
        <v>448</v>
      </c>
      <c r="G54" s="4">
        <v>326</v>
      </c>
      <c r="H54" s="4">
        <v>2</v>
      </c>
      <c r="I54" s="4" t="s">
        <v>32</v>
      </c>
      <c r="J54" s="5">
        <v>43728</v>
      </c>
      <c r="M54" s="8" t="str">
        <f t="shared" si="0"/>
        <v>else if(w=="368" &amp;&amp; h=="448"){
        console.log("I am a Apple Watch Series 5 Large!");
        dpi=326;
        }</v>
      </c>
    </row>
    <row r="55" spans="2:13" ht="60" x14ac:dyDescent="0.25">
      <c r="B55" s="1" t="s">
        <v>81</v>
      </c>
      <c r="C55" s="4">
        <v>162</v>
      </c>
      <c r="D55" s="4">
        <v>197</v>
      </c>
      <c r="E55" s="4">
        <v>324</v>
      </c>
      <c r="F55" s="4">
        <v>394</v>
      </c>
      <c r="G55" s="4">
        <v>326</v>
      </c>
      <c r="H55" s="4">
        <v>2</v>
      </c>
      <c r="I55" s="4" t="s">
        <v>34</v>
      </c>
      <c r="J55" s="5">
        <v>43728</v>
      </c>
      <c r="M55" s="8" t="str">
        <f t="shared" si="0"/>
        <v>else if(w=="324" &amp;&amp; h=="394"){
        console.log("I am a Apple Watch Series 5 Small!");
        dpi=326;
        }</v>
      </c>
    </row>
    <row r="56" spans="2:13" ht="60" x14ac:dyDescent="0.25">
      <c r="B56" s="1" t="s">
        <v>82</v>
      </c>
      <c r="C56" s="4">
        <v>320</v>
      </c>
      <c r="D56" s="4">
        <v>568</v>
      </c>
      <c r="E56" s="4">
        <v>640</v>
      </c>
      <c r="F56" s="4">
        <v>1136</v>
      </c>
      <c r="G56" s="4">
        <v>326</v>
      </c>
      <c r="H56" s="4">
        <v>2</v>
      </c>
      <c r="I56" s="4" t="s">
        <v>83</v>
      </c>
      <c r="J56" s="5">
        <v>43613</v>
      </c>
      <c r="M56" s="8" t="str">
        <f t="shared" si="0"/>
        <v>else if(w=="640" &amp;&amp; h=="1136"){
        console.log("I am a iPod touch 7th gen!");
        dpi=326;
        }</v>
      </c>
    </row>
    <row r="57" spans="2:13" ht="60" x14ac:dyDescent="0.25">
      <c r="B57" s="1" t="s">
        <v>84</v>
      </c>
      <c r="C57" s="4">
        <v>768</v>
      </c>
      <c r="D57" s="4">
        <v>1024</v>
      </c>
      <c r="E57" s="4">
        <v>1536</v>
      </c>
      <c r="F57" s="4">
        <v>2048</v>
      </c>
      <c r="G57" s="4">
        <v>326</v>
      </c>
      <c r="H57" s="4">
        <v>2</v>
      </c>
      <c r="I57" s="4" t="s">
        <v>85</v>
      </c>
      <c r="J57" s="5">
        <v>43542</v>
      </c>
      <c r="M57" s="8" t="str">
        <f t="shared" si="0"/>
        <v>else if(w=="1536" &amp;&amp; h=="2048"){
        console.log("I am a iPad Mini (5th gen)!");
        dpi=326;
        }</v>
      </c>
    </row>
    <row r="58" spans="2:13" ht="60" x14ac:dyDescent="0.25">
      <c r="B58" s="1" t="s">
        <v>86</v>
      </c>
      <c r="C58" s="4">
        <v>834</v>
      </c>
      <c r="D58" s="4">
        <v>1112</v>
      </c>
      <c r="E58" s="4">
        <v>1668</v>
      </c>
      <c r="F58" s="4">
        <v>2224</v>
      </c>
      <c r="G58" s="4">
        <v>264</v>
      </c>
      <c r="H58" s="4">
        <v>2</v>
      </c>
      <c r="I58" s="4" t="s">
        <v>87</v>
      </c>
      <c r="J58" s="5">
        <v>43542</v>
      </c>
      <c r="M58" s="8" t="str">
        <f t="shared" si="0"/>
        <v>else if(w=="1668" &amp;&amp; h=="2224"){
        console.log("I am a iPad Air (3rd gen)!");
        dpi=264;
        }</v>
      </c>
    </row>
    <row r="59" spans="2:13" ht="60" x14ac:dyDescent="0.25">
      <c r="B59" s="1" t="s">
        <v>88</v>
      </c>
      <c r="C59" s="4">
        <v>1024</v>
      </c>
      <c r="D59" s="4">
        <v>1366</v>
      </c>
      <c r="E59" s="4">
        <v>2048</v>
      </c>
      <c r="F59" s="4">
        <v>2732</v>
      </c>
      <c r="G59" s="4">
        <v>264</v>
      </c>
      <c r="H59" s="4">
        <v>2</v>
      </c>
      <c r="I59" s="4" t="s">
        <v>19</v>
      </c>
      <c r="J59" s="5">
        <v>43411</v>
      </c>
      <c r="M59" s="8" t="str">
        <f t="shared" si="0"/>
        <v>else if(w=="2048" &amp;&amp; h=="2732"){
        console.log("I am a iPad Pro (3rd gen 12.9")!");
        dpi=264;
        }</v>
      </c>
    </row>
    <row r="60" spans="2:13" ht="60" x14ac:dyDescent="0.25">
      <c r="B60" s="1" t="s">
        <v>89</v>
      </c>
      <c r="C60" s="4">
        <v>834</v>
      </c>
      <c r="D60" s="4">
        <v>1194</v>
      </c>
      <c r="E60" s="4">
        <v>1668</v>
      </c>
      <c r="F60" s="4">
        <v>2388</v>
      </c>
      <c r="G60" s="4">
        <v>264</v>
      </c>
      <c r="H60" s="4">
        <v>2</v>
      </c>
      <c r="I60" s="4" t="s">
        <v>21</v>
      </c>
      <c r="J60" s="5">
        <v>43411</v>
      </c>
      <c r="M60" s="8" t="str">
        <f t="shared" si="0"/>
        <v>else if(w=="1668" &amp;&amp; h=="2388"){
        console.log("I am a iPad Pro (3rd gen 11")!");
        dpi=264;
        }</v>
      </c>
    </row>
    <row r="61" spans="2:13" ht="60" x14ac:dyDescent="0.25">
      <c r="B61" s="1" t="s">
        <v>90</v>
      </c>
      <c r="C61" s="4">
        <v>414</v>
      </c>
      <c r="D61" s="4">
        <v>896</v>
      </c>
      <c r="E61" s="4">
        <v>828</v>
      </c>
      <c r="F61" s="4">
        <v>1792</v>
      </c>
      <c r="G61" s="4">
        <v>326</v>
      </c>
      <c r="H61" s="4">
        <v>2</v>
      </c>
      <c r="I61" s="4" t="s">
        <v>43</v>
      </c>
      <c r="J61" s="5">
        <v>43399</v>
      </c>
      <c r="M61" s="8" t="str">
        <f t="shared" si="0"/>
        <v>else if(w=="828" &amp;&amp; h=="1792"){
        console.log("I am a iPhone XR!");
        dpi=326;
        }</v>
      </c>
    </row>
    <row r="62" spans="2:13" ht="60" x14ac:dyDescent="0.25">
      <c r="B62" s="1" t="s">
        <v>91</v>
      </c>
      <c r="C62" s="4">
        <v>414</v>
      </c>
      <c r="D62" s="4">
        <v>896</v>
      </c>
      <c r="E62" s="4">
        <v>1242</v>
      </c>
      <c r="F62" s="4">
        <v>2688</v>
      </c>
      <c r="G62" s="4">
        <v>458</v>
      </c>
      <c r="H62" s="4">
        <v>3</v>
      </c>
      <c r="I62" s="4" t="s">
        <v>76</v>
      </c>
      <c r="J62" s="5">
        <v>43364</v>
      </c>
      <c r="M62" s="8" t="str">
        <f t="shared" si="0"/>
        <v>else if(w=="1242" &amp;&amp; h=="2688"){
        console.log("I am a iPhone XS Max!");
        dpi=458;
        }</v>
      </c>
    </row>
    <row r="63" spans="2:13" ht="60" x14ac:dyDescent="0.25">
      <c r="B63" s="1" t="s">
        <v>92</v>
      </c>
      <c r="C63" s="4">
        <v>375</v>
      </c>
      <c r="D63" s="4">
        <v>812</v>
      </c>
      <c r="E63" s="4">
        <v>1125</v>
      </c>
      <c r="F63" s="4">
        <v>2436</v>
      </c>
      <c r="G63" s="4">
        <v>458</v>
      </c>
      <c r="H63" s="4">
        <v>3</v>
      </c>
      <c r="I63" s="4" t="s">
        <v>78</v>
      </c>
      <c r="J63" s="5">
        <v>43364</v>
      </c>
      <c r="M63" s="8" t="str">
        <f t="shared" si="0"/>
        <v>else if(w=="1125" &amp;&amp; h=="2436"){
        console.log("I am a iPhone XS!");
        dpi=458;
        }</v>
      </c>
    </row>
    <row r="64" spans="2:13" ht="60" x14ac:dyDescent="0.25">
      <c r="B64" s="1" t="s">
        <v>93</v>
      </c>
      <c r="C64" s="4">
        <v>184</v>
      </c>
      <c r="D64" s="4">
        <v>224</v>
      </c>
      <c r="E64" s="4">
        <v>368</v>
      </c>
      <c r="F64" s="4">
        <v>448</v>
      </c>
      <c r="G64" s="4">
        <v>326</v>
      </c>
      <c r="H64" s="4">
        <v>2</v>
      </c>
      <c r="I64" s="4" t="s">
        <v>32</v>
      </c>
      <c r="J64" s="5">
        <v>43364</v>
      </c>
      <c r="M64" s="8" t="str">
        <f t="shared" si="0"/>
        <v>else if(w=="368" &amp;&amp; h=="448"){
        console.log("I am a Apple Watch Series 4 Large!");
        dpi=326;
        }</v>
      </c>
    </row>
    <row r="65" spans="2:13" ht="60" x14ac:dyDescent="0.25">
      <c r="B65" s="1" t="s">
        <v>94</v>
      </c>
      <c r="C65" s="4">
        <v>162</v>
      </c>
      <c r="D65" s="4">
        <v>197</v>
      </c>
      <c r="E65" s="4">
        <v>324</v>
      </c>
      <c r="F65" s="4">
        <v>394</v>
      </c>
      <c r="G65" s="4">
        <v>326</v>
      </c>
      <c r="H65" s="4">
        <v>2</v>
      </c>
      <c r="I65" s="4" t="s">
        <v>34</v>
      </c>
      <c r="J65" s="5">
        <v>43364</v>
      </c>
      <c r="M65" s="8" t="str">
        <f t="shared" si="0"/>
        <v>else if(w=="324" &amp;&amp; h=="394"){
        console.log("I am a Apple Watch Series 4 Small!");
        dpi=326;
        }</v>
      </c>
    </row>
    <row r="66" spans="2:13" ht="60" x14ac:dyDescent="0.25">
      <c r="B66" s="1" t="s">
        <v>95</v>
      </c>
      <c r="C66" s="4">
        <v>768</v>
      </c>
      <c r="D66" s="4">
        <v>1024</v>
      </c>
      <c r="E66" s="4">
        <v>1536</v>
      </c>
      <c r="F66" s="4">
        <v>2048</v>
      </c>
      <c r="G66" s="4">
        <v>264</v>
      </c>
      <c r="H66" s="4">
        <v>2</v>
      </c>
      <c r="I66" s="4" t="s">
        <v>96</v>
      </c>
      <c r="J66" s="5">
        <v>43186</v>
      </c>
      <c r="M66" s="8" t="str">
        <f t="shared" si="0"/>
        <v>else if(w=="1536" &amp;&amp; h=="2048"){
        console.log("I am a iPad 6th gen!");
        dpi=264;
        }</v>
      </c>
    </row>
    <row r="67" spans="2:13" ht="60" x14ac:dyDescent="0.25">
      <c r="B67" s="1" t="s">
        <v>97</v>
      </c>
      <c r="C67" s="4">
        <v>375</v>
      </c>
      <c r="D67" s="4">
        <v>812</v>
      </c>
      <c r="E67" s="4">
        <v>1125</v>
      </c>
      <c r="F67" s="4">
        <v>2436</v>
      </c>
      <c r="G67" s="4">
        <v>458</v>
      </c>
      <c r="H67" s="4">
        <v>3</v>
      </c>
      <c r="I67" s="4" t="s">
        <v>78</v>
      </c>
      <c r="J67" s="5">
        <v>43042</v>
      </c>
      <c r="M67" s="8" t="str">
        <f t="shared" si="0"/>
        <v>else if(w=="1125" &amp;&amp; h=="2436"){
        console.log("I am a iPhone X!");
        dpi=458;
        }</v>
      </c>
    </row>
    <row r="68" spans="2:13" ht="60" x14ac:dyDescent="0.25">
      <c r="B68" s="1" t="s">
        <v>98</v>
      </c>
      <c r="C68" s="4">
        <v>414</v>
      </c>
      <c r="D68" s="4">
        <v>736</v>
      </c>
      <c r="E68" s="4">
        <v>1080</v>
      </c>
      <c r="F68" s="4">
        <v>1920</v>
      </c>
      <c r="G68" s="4">
        <v>401</v>
      </c>
      <c r="H68" s="4">
        <v>3</v>
      </c>
      <c r="I68" s="4" t="s">
        <v>99</v>
      </c>
      <c r="J68" s="5">
        <v>43000</v>
      </c>
      <c r="M68" s="8" t="str">
        <f t="shared" ref="M68:M113" si="1">CONCATENATE("else if(w==""",E68,""" &amp;&amp; h==""",F68,"""){
        console.log(""I am a ",B68,"!"");
        dpi=",G68,";
        }")</f>
        <v>else if(w=="1080" &amp;&amp; h=="1920"){
        console.log("I am a iPhone 8 Plus!");
        dpi=401;
        }</v>
      </c>
    </row>
    <row r="69" spans="2:13" ht="60" x14ac:dyDescent="0.25">
      <c r="B69" s="1" t="s">
        <v>100</v>
      </c>
      <c r="C69" s="4">
        <v>375</v>
      </c>
      <c r="D69" s="4">
        <v>667</v>
      </c>
      <c r="E69" s="4">
        <v>750</v>
      </c>
      <c r="F69" s="4">
        <v>1334</v>
      </c>
      <c r="G69" s="4">
        <v>326</v>
      </c>
      <c r="H69" s="4">
        <v>2</v>
      </c>
      <c r="I69" s="4" t="s">
        <v>36</v>
      </c>
      <c r="J69" s="5">
        <v>43000</v>
      </c>
      <c r="M69" s="8" t="str">
        <f t="shared" si="1"/>
        <v>else if(w=="750" &amp;&amp; h=="1334"){
        console.log("I am a iPhone 8!");
        dpi=326;
        }</v>
      </c>
    </row>
    <row r="70" spans="2:13" ht="60" x14ac:dyDescent="0.25">
      <c r="B70" s="1" t="s">
        <v>101</v>
      </c>
      <c r="C70" s="4">
        <v>156</v>
      </c>
      <c r="D70" s="4">
        <v>195</v>
      </c>
      <c r="E70" s="4">
        <v>312</v>
      </c>
      <c r="F70" s="4">
        <v>390</v>
      </c>
      <c r="G70" s="4">
        <v>326</v>
      </c>
      <c r="H70" s="4">
        <v>2</v>
      </c>
      <c r="I70" s="4" t="s">
        <v>102</v>
      </c>
      <c r="J70" s="5">
        <v>43000</v>
      </c>
      <c r="M70" s="8" t="str">
        <f t="shared" si="1"/>
        <v>else if(w=="312" &amp;&amp; h=="390"){
        console.log("I am a Apple Watch Series 3 Large!");
        dpi=326;
        }</v>
      </c>
    </row>
    <row r="71" spans="2:13" ht="60" x14ac:dyDescent="0.25">
      <c r="B71" s="1" t="s">
        <v>103</v>
      </c>
      <c r="C71" s="4">
        <v>156</v>
      </c>
      <c r="D71" s="4">
        <v>170</v>
      </c>
      <c r="E71" s="4">
        <v>312</v>
      </c>
      <c r="F71" s="4">
        <v>340</v>
      </c>
      <c r="G71" s="4">
        <v>326</v>
      </c>
      <c r="H71" s="4">
        <v>2</v>
      </c>
      <c r="I71" s="4" t="s">
        <v>102</v>
      </c>
      <c r="J71" s="5">
        <v>43000</v>
      </c>
      <c r="M71" s="8" t="str">
        <f t="shared" si="1"/>
        <v>else if(w=="312" &amp;&amp; h=="340"){
        console.log("I am a Apple Watch Series 3 Small!");
        dpi=326;
        }</v>
      </c>
    </row>
    <row r="72" spans="2:13" ht="60" x14ac:dyDescent="0.25">
      <c r="B72" s="1" t="s">
        <v>104</v>
      </c>
      <c r="C72" s="4">
        <v>1024</v>
      </c>
      <c r="D72" s="4">
        <v>1366</v>
      </c>
      <c r="E72" s="4">
        <v>2048</v>
      </c>
      <c r="F72" s="4">
        <v>2732</v>
      </c>
      <c r="G72" s="4">
        <v>264</v>
      </c>
      <c r="H72" s="4">
        <v>2</v>
      </c>
      <c r="I72" s="4" t="s">
        <v>19</v>
      </c>
      <c r="J72" s="5">
        <v>42899</v>
      </c>
      <c r="M72" s="8" t="str">
        <f t="shared" si="1"/>
        <v>else if(w=="2048" &amp;&amp; h=="2732"){
        console.log("I am a iPad Pro (2nd gen 12.9")!");
        dpi=264;
        }</v>
      </c>
    </row>
    <row r="73" spans="2:13" ht="60" x14ac:dyDescent="0.25">
      <c r="B73" s="1" t="s">
        <v>105</v>
      </c>
      <c r="C73" s="4">
        <v>834</v>
      </c>
      <c r="D73" s="4">
        <v>1112</v>
      </c>
      <c r="E73" s="4">
        <v>1668</v>
      </c>
      <c r="F73" s="4">
        <v>2224</v>
      </c>
      <c r="G73" s="4">
        <v>264</v>
      </c>
      <c r="H73" s="4">
        <v>2</v>
      </c>
      <c r="I73" s="4" t="s">
        <v>87</v>
      </c>
      <c r="J73" s="5">
        <v>42899</v>
      </c>
      <c r="M73" s="8" t="str">
        <f t="shared" si="1"/>
        <v>else if(w=="1668" &amp;&amp; h=="2224"){
        console.log("I am a iPad Pro (2nd gen 10.5")!");
        dpi=264;
        }</v>
      </c>
    </row>
    <row r="74" spans="2:13" ht="60" x14ac:dyDescent="0.25">
      <c r="B74" s="1" t="s">
        <v>106</v>
      </c>
      <c r="C74" s="4">
        <v>768</v>
      </c>
      <c r="D74" s="4">
        <v>1024</v>
      </c>
      <c r="E74" s="4">
        <v>1536</v>
      </c>
      <c r="F74" s="4">
        <v>2048</v>
      </c>
      <c r="G74" s="4">
        <v>264</v>
      </c>
      <c r="H74" s="4">
        <v>2</v>
      </c>
      <c r="I74" s="4" t="s">
        <v>96</v>
      </c>
      <c r="J74" s="5">
        <v>42818</v>
      </c>
      <c r="M74" s="8" t="str">
        <f t="shared" si="1"/>
        <v>else if(w=="1536" &amp;&amp; h=="2048"){
        console.log("I am a iPad 5th gen!");
        dpi=264;
        }</v>
      </c>
    </row>
    <row r="75" spans="2:13" ht="60" x14ac:dyDescent="0.25">
      <c r="B75" s="1" t="s">
        <v>107</v>
      </c>
      <c r="C75" s="4">
        <v>414</v>
      </c>
      <c r="D75" s="4">
        <v>736</v>
      </c>
      <c r="E75" s="4">
        <v>1080</v>
      </c>
      <c r="F75" s="4">
        <v>1920</v>
      </c>
      <c r="G75" s="4">
        <v>401</v>
      </c>
      <c r="H75" s="4">
        <v>3</v>
      </c>
      <c r="I75" s="4" t="s">
        <v>99</v>
      </c>
      <c r="J75" s="5">
        <v>42629</v>
      </c>
      <c r="M75" s="8" t="str">
        <f t="shared" si="1"/>
        <v>else if(w=="1080" &amp;&amp; h=="1920"){
        console.log("I am a iPhone 7 Plus!");
        dpi=401;
        }</v>
      </c>
    </row>
    <row r="76" spans="2:13" ht="60" x14ac:dyDescent="0.25">
      <c r="B76" s="1" t="s">
        <v>108</v>
      </c>
      <c r="C76" s="4">
        <v>375</v>
      </c>
      <c r="D76" s="4">
        <v>667</v>
      </c>
      <c r="E76" s="4">
        <v>750</v>
      </c>
      <c r="F76" s="4">
        <v>1334</v>
      </c>
      <c r="G76" s="4">
        <v>326</v>
      </c>
      <c r="H76" s="4">
        <v>2</v>
      </c>
      <c r="I76" s="4" t="s">
        <v>36</v>
      </c>
      <c r="J76" s="5">
        <v>42629</v>
      </c>
      <c r="M76" s="8" t="str">
        <f t="shared" si="1"/>
        <v>else if(w=="750" &amp;&amp; h=="1334"){
        console.log("I am a iPhone 7!");
        dpi=326;
        }</v>
      </c>
    </row>
    <row r="77" spans="2:13" ht="60" x14ac:dyDescent="0.25">
      <c r="B77" s="1" t="s">
        <v>109</v>
      </c>
      <c r="C77" s="4">
        <v>156</v>
      </c>
      <c r="D77" s="4">
        <v>195</v>
      </c>
      <c r="E77" s="4">
        <v>312</v>
      </c>
      <c r="F77" s="4">
        <v>390</v>
      </c>
      <c r="G77" s="4">
        <v>326</v>
      </c>
      <c r="H77" s="4">
        <v>2</v>
      </c>
      <c r="I77" s="4" t="s">
        <v>102</v>
      </c>
      <c r="J77" s="5">
        <v>42629</v>
      </c>
      <c r="M77" s="8" t="str">
        <f t="shared" si="1"/>
        <v>else if(w=="312" &amp;&amp; h=="390"){
        console.log("I am a Apple Watch Series 2 Large!");
        dpi=326;
        }</v>
      </c>
    </row>
    <row r="78" spans="2:13" ht="60" x14ac:dyDescent="0.25">
      <c r="B78" s="1" t="s">
        <v>110</v>
      </c>
      <c r="C78" s="4">
        <v>156</v>
      </c>
      <c r="D78" s="4">
        <v>170</v>
      </c>
      <c r="E78" s="4">
        <v>312</v>
      </c>
      <c r="F78" s="4">
        <v>340</v>
      </c>
      <c r="G78" s="4">
        <v>326</v>
      </c>
      <c r="H78" s="4">
        <v>2</v>
      </c>
      <c r="I78" s="4" t="s">
        <v>102</v>
      </c>
      <c r="J78" s="5">
        <v>42629</v>
      </c>
      <c r="M78" s="8" t="str">
        <f t="shared" si="1"/>
        <v>else if(w=="312" &amp;&amp; h=="340"){
        console.log("I am a Apple Watch Series 2 Small!");
        dpi=326;
        }</v>
      </c>
    </row>
    <row r="79" spans="2:13" ht="60" x14ac:dyDescent="0.25">
      <c r="B79" s="1" t="s">
        <v>111</v>
      </c>
      <c r="C79" s="4">
        <v>156</v>
      </c>
      <c r="D79" s="4">
        <v>195</v>
      </c>
      <c r="E79" s="4">
        <v>312</v>
      </c>
      <c r="F79" s="4">
        <v>390</v>
      </c>
      <c r="G79" s="4">
        <v>326</v>
      </c>
      <c r="H79" s="4">
        <v>2</v>
      </c>
      <c r="I79" s="4" t="s">
        <v>102</v>
      </c>
      <c r="J79" s="5">
        <v>42625</v>
      </c>
      <c r="M79" s="8" t="str">
        <f t="shared" si="1"/>
        <v>else if(w=="312" &amp;&amp; h=="390"){
        console.log("I am a Apple Watch Series 1 Large!");
        dpi=326;
        }</v>
      </c>
    </row>
    <row r="80" spans="2:13" ht="60" x14ac:dyDescent="0.25">
      <c r="B80" s="1" t="s">
        <v>112</v>
      </c>
      <c r="C80" s="4">
        <v>156</v>
      </c>
      <c r="D80" s="4">
        <v>170</v>
      </c>
      <c r="E80" s="4">
        <v>312</v>
      </c>
      <c r="F80" s="4">
        <v>340</v>
      </c>
      <c r="G80" s="4">
        <v>326</v>
      </c>
      <c r="H80" s="4">
        <v>2</v>
      </c>
      <c r="I80" s="4" t="s">
        <v>102</v>
      </c>
      <c r="J80" s="5">
        <v>42625</v>
      </c>
      <c r="M80" s="8" t="str">
        <f t="shared" si="1"/>
        <v>else if(w=="312" &amp;&amp; h=="340"){
        console.log("I am a Apple Watch Series 1 Small!");
        dpi=326;
        }</v>
      </c>
    </row>
    <row r="81" spans="2:13" ht="60" x14ac:dyDescent="0.25">
      <c r="B81" s="1" t="s">
        <v>113</v>
      </c>
      <c r="C81" s="4">
        <v>320</v>
      </c>
      <c r="D81" s="4">
        <v>568</v>
      </c>
      <c r="E81" s="4">
        <v>640</v>
      </c>
      <c r="F81" s="4">
        <v>1136</v>
      </c>
      <c r="G81" s="4">
        <v>326</v>
      </c>
      <c r="H81" s="4">
        <v>2</v>
      </c>
      <c r="I81" s="4" t="s">
        <v>83</v>
      </c>
      <c r="J81" s="5">
        <v>42460</v>
      </c>
      <c r="M81" s="8" t="str">
        <f t="shared" si="1"/>
        <v>else if(w=="640" &amp;&amp; h=="1136"){
        console.log("I am a iPhone SE 1st gen!");
        dpi=326;
        }</v>
      </c>
    </row>
    <row r="82" spans="2:13" ht="60" x14ac:dyDescent="0.25">
      <c r="B82" s="1" t="s">
        <v>114</v>
      </c>
      <c r="C82" s="4">
        <v>768</v>
      </c>
      <c r="D82" s="4">
        <v>1024</v>
      </c>
      <c r="E82" s="4">
        <v>1536</v>
      </c>
      <c r="F82" s="4">
        <v>2048</v>
      </c>
      <c r="G82" s="4">
        <v>264</v>
      </c>
      <c r="H82" s="4">
        <v>2</v>
      </c>
      <c r="I82" s="4" t="s">
        <v>96</v>
      </c>
      <c r="J82" s="5">
        <v>42460</v>
      </c>
      <c r="M82" s="8" t="str">
        <f t="shared" si="1"/>
        <v>else if(w=="1536" &amp;&amp; h=="2048"){
        console.log("I am a iPad Pro (1st gen 9.7”)!");
        dpi=264;
        }</v>
      </c>
    </row>
    <row r="83" spans="2:13" ht="60" x14ac:dyDescent="0.25">
      <c r="B83" s="1" t="s">
        <v>115</v>
      </c>
      <c r="C83" s="4">
        <v>1024</v>
      </c>
      <c r="D83" s="4">
        <v>1366</v>
      </c>
      <c r="E83" s="4">
        <v>2048</v>
      </c>
      <c r="F83" s="4">
        <v>2732</v>
      </c>
      <c r="G83" s="4">
        <v>264</v>
      </c>
      <c r="H83" s="4">
        <v>2</v>
      </c>
      <c r="I83" s="4" t="s">
        <v>19</v>
      </c>
      <c r="J83" s="5">
        <v>42319</v>
      </c>
      <c r="M83" s="8" t="str">
        <f t="shared" si="1"/>
        <v>else if(w=="2048" &amp;&amp; h=="2732"){
        console.log("I am a iPad Pro (1st gen 12.9")!");
        dpi=264;
        }</v>
      </c>
    </row>
    <row r="84" spans="2:13" ht="60" x14ac:dyDescent="0.25">
      <c r="B84" s="1" t="s">
        <v>116</v>
      </c>
      <c r="C84" s="4">
        <v>414</v>
      </c>
      <c r="D84" s="4">
        <v>736</v>
      </c>
      <c r="E84" s="4">
        <v>1080</v>
      </c>
      <c r="F84" s="4">
        <v>1920</v>
      </c>
      <c r="G84" s="4">
        <v>401</v>
      </c>
      <c r="H84" s="4">
        <v>3</v>
      </c>
      <c r="I84" s="4" t="s">
        <v>99</v>
      </c>
      <c r="J84" s="5">
        <v>42272</v>
      </c>
      <c r="M84" s="8" t="str">
        <f t="shared" si="1"/>
        <v>else if(w=="1080" &amp;&amp; h=="1920"){
        console.log("I am a iPhone 6s Plus!");
        dpi=401;
        }</v>
      </c>
    </row>
    <row r="85" spans="2:13" ht="60" x14ac:dyDescent="0.25">
      <c r="B85" s="1" t="s">
        <v>117</v>
      </c>
      <c r="C85" s="4">
        <v>375</v>
      </c>
      <c r="D85" s="4">
        <v>667</v>
      </c>
      <c r="E85" s="4">
        <v>750</v>
      </c>
      <c r="F85" s="4">
        <v>1334</v>
      </c>
      <c r="G85" s="4">
        <v>326</v>
      </c>
      <c r="H85" s="4">
        <v>2</v>
      </c>
      <c r="I85" s="4" t="s">
        <v>36</v>
      </c>
      <c r="J85" s="5">
        <v>42272</v>
      </c>
      <c r="M85" s="8" t="str">
        <f t="shared" si="1"/>
        <v>else if(w=="750" &amp;&amp; h=="1334"){
        console.log("I am a iPhone 6s!");
        dpi=326;
        }</v>
      </c>
    </row>
    <row r="86" spans="2:13" ht="60" x14ac:dyDescent="0.25">
      <c r="B86" s="1" t="s">
        <v>118</v>
      </c>
      <c r="C86" s="4">
        <v>768</v>
      </c>
      <c r="D86" s="4">
        <v>1024</v>
      </c>
      <c r="E86" s="4">
        <v>1536</v>
      </c>
      <c r="F86" s="4">
        <v>2048</v>
      </c>
      <c r="G86" s="4">
        <v>326</v>
      </c>
      <c r="H86" s="4">
        <v>2</v>
      </c>
      <c r="I86" s="4" t="s">
        <v>85</v>
      </c>
      <c r="J86" s="5">
        <v>42256</v>
      </c>
      <c r="M86" s="8" t="str">
        <f t="shared" si="1"/>
        <v>else if(w=="1536" &amp;&amp; h=="2048"){
        console.log("I am a iPad mini 4!");
        dpi=326;
        }</v>
      </c>
    </row>
    <row r="87" spans="2:13" ht="60" x14ac:dyDescent="0.25">
      <c r="B87" s="1" t="s">
        <v>119</v>
      </c>
      <c r="C87" s="4">
        <v>320</v>
      </c>
      <c r="D87" s="4">
        <v>568</v>
      </c>
      <c r="E87" s="4">
        <v>640</v>
      </c>
      <c r="F87" s="4">
        <v>1136</v>
      </c>
      <c r="G87" s="4">
        <v>326</v>
      </c>
      <c r="H87" s="4">
        <v>2</v>
      </c>
      <c r="I87" s="4" t="s">
        <v>83</v>
      </c>
      <c r="J87" s="5">
        <v>42200</v>
      </c>
      <c r="M87" s="8" t="str">
        <f t="shared" si="1"/>
        <v>else if(w=="640" &amp;&amp; h=="1136"){
        console.log("I am a iPod touch 6th gen!");
        dpi=326;
        }</v>
      </c>
    </row>
    <row r="88" spans="2:13" ht="75" x14ac:dyDescent="0.25">
      <c r="B88" s="1" t="s">
        <v>120</v>
      </c>
      <c r="C88" s="4">
        <v>156</v>
      </c>
      <c r="D88" s="4">
        <v>195</v>
      </c>
      <c r="E88" s="4">
        <v>312</v>
      </c>
      <c r="F88" s="4">
        <v>390</v>
      </c>
      <c r="G88" s="4">
        <v>326</v>
      </c>
      <c r="H88" s="4">
        <v>2</v>
      </c>
      <c r="I88" s="4" t="s">
        <v>102</v>
      </c>
      <c r="J88" s="5">
        <v>42118</v>
      </c>
      <c r="M88" s="8" t="str">
        <f t="shared" si="1"/>
        <v>else if(w=="312" &amp;&amp; h=="390"){
        console.log("I am a Apple Watch 1st (Series 0) Large!");
        dpi=326;
        }</v>
      </c>
    </row>
    <row r="89" spans="2:13" ht="75" x14ac:dyDescent="0.25">
      <c r="B89" s="1" t="s">
        <v>121</v>
      </c>
      <c r="C89" s="4">
        <v>156</v>
      </c>
      <c r="D89" s="4">
        <v>170</v>
      </c>
      <c r="E89" s="4">
        <v>312</v>
      </c>
      <c r="F89" s="4">
        <v>340</v>
      </c>
      <c r="G89" s="4">
        <v>326</v>
      </c>
      <c r="H89" s="4">
        <v>2</v>
      </c>
      <c r="I89" s="4" t="s">
        <v>102</v>
      </c>
      <c r="J89" s="5">
        <v>42118</v>
      </c>
      <c r="M89" s="8" t="str">
        <f t="shared" si="1"/>
        <v>else if(w=="312" &amp;&amp; h=="340"){
        console.log("I am a Apple Watch 1st (Series 0) Small!");
        dpi=326;
        }</v>
      </c>
    </row>
    <row r="90" spans="2:13" ht="60" x14ac:dyDescent="0.25">
      <c r="B90" s="1" t="s">
        <v>122</v>
      </c>
      <c r="C90" s="4">
        <v>768</v>
      </c>
      <c r="D90" s="4">
        <v>1024</v>
      </c>
      <c r="E90" s="4">
        <v>1536</v>
      </c>
      <c r="F90" s="4">
        <v>2048</v>
      </c>
      <c r="G90" s="4">
        <v>264</v>
      </c>
      <c r="H90" s="4">
        <v>2</v>
      </c>
      <c r="I90" s="4" t="s">
        <v>96</v>
      </c>
      <c r="J90" s="5">
        <v>41934</v>
      </c>
      <c r="M90" s="8" t="str">
        <f t="shared" si="1"/>
        <v>else if(w=="1536" &amp;&amp; h=="2048"){
        console.log("I am a iPad Air 2!");
        dpi=264;
        }</v>
      </c>
    </row>
    <row r="91" spans="2:13" ht="60" x14ac:dyDescent="0.25">
      <c r="B91" s="1" t="s">
        <v>123</v>
      </c>
      <c r="C91" s="4">
        <v>768</v>
      </c>
      <c r="D91" s="4">
        <v>1024</v>
      </c>
      <c r="E91" s="4">
        <v>1536</v>
      </c>
      <c r="F91" s="4">
        <v>2048</v>
      </c>
      <c r="G91" s="4">
        <v>326</v>
      </c>
      <c r="H91" s="4">
        <v>2</v>
      </c>
      <c r="I91" s="4" t="s">
        <v>85</v>
      </c>
      <c r="J91" s="5">
        <v>41934</v>
      </c>
      <c r="M91" s="8" t="str">
        <f t="shared" si="1"/>
        <v>else if(w=="1536" &amp;&amp; h=="2048"){
        console.log("I am a iPad mini 3!");
        dpi=326;
        }</v>
      </c>
    </row>
    <row r="92" spans="2:13" ht="60" x14ac:dyDescent="0.25">
      <c r="B92" s="1" t="s">
        <v>124</v>
      </c>
      <c r="C92" s="4">
        <v>414</v>
      </c>
      <c r="D92" s="4">
        <v>736</v>
      </c>
      <c r="E92" s="4">
        <v>1080</v>
      </c>
      <c r="F92" s="4">
        <v>1920</v>
      </c>
      <c r="G92" s="4">
        <v>401</v>
      </c>
      <c r="H92" s="4">
        <v>3</v>
      </c>
      <c r="I92" s="4" t="s">
        <v>99</v>
      </c>
      <c r="J92" s="5">
        <v>41901</v>
      </c>
      <c r="M92" s="8" t="str">
        <f t="shared" si="1"/>
        <v>else if(w=="1080" &amp;&amp; h=="1920"){
        console.log("I am a iPhone 6 Plus!");
        dpi=401;
        }</v>
      </c>
    </row>
    <row r="93" spans="2:13" ht="60" x14ac:dyDescent="0.25">
      <c r="B93" s="1" t="s">
        <v>125</v>
      </c>
      <c r="C93" s="4">
        <v>375</v>
      </c>
      <c r="D93" s="4">
        <v>667</v>
      </c>
      <c r="E93" s="4">
        <v>750</v>
      </c>
      <c r="F93" s="4">
        <v>1334</v>
      </c>
      <c r="G93" s="4">
        <v>326</v>
      </c>
      <c r="H93" s="4">
        <v>2</v>
      </c>
      <c r="I93" s="4" t="s">
        <v>36</v>
      </c>
      <c r="J93" s="5">
        <v>41901</v>
      </c>
      <c r="M93" s="8" t="str">
        <f t="shared" si="1"/>
        <v>else if(w=="750" &amp;&amp; h=="1334"){
        console.log("I am a iPhone 6!");
        dpi=326;
        }</v>
      </c>
    </row>
    <row r="94" spans="2:13" ht="60" x14ac:dyDescent="0.25">
      <c r="B94" s="1" t="s">
        <v>126</v>
      </c>
      <c r="C94" s="4">
        <v>768</v>
      </c>
      <c r="D94" s="4">
        <v>1024</v>
      </c>
      <c r="E94" s="4">
        <v>1536</v>
      </c>
      <c r="F94" s="4">
        <v>2048</v>
      </c>
      <c r="G94" s="4">
        <v>326</v>
      </c>
      <c r="H94" s="4">
        <v>2</v>
      </c>
      <c r="I94" s="4" t="s">
        <v>85</v>
      </c>
      <c r="J94" s="5">
        <v>41590</v>
      </c>
      <c r="M94" s="8" t="str">
        <f t="shared" si="1"/>
        <v>else if(w=="1536" &amp;&amp; h=="2048"){
        console.log("I am a iPad mini 2!");
        dpi=326;
        }</v>
      </c>
    </row>
    <row r="95" spans="2:13" ht="60" x14ac:dyDescent="0.25">
      <c r="B95" s="1" t="s">
        <v>127</v>
      </c>
      <c r="C95" s="4">
        <v>768</v>
      </c>
      <c r="D95" s="4">
        <v>1024</v>
      </c>
      <c r="E95" s="4">
        <v>1536</v>
      </c>
      <c r="F95" s="4">
        <v>2048</v>
      </c>
      <c r="G95" s="4">
        <v>264</v>
      </c>
      <c r="H95" s="4">
        <v>2</v>
      </c>
      <c r="I95" s="4" t="s">
        <v>96</v>
      </c>
      <c r="J95" s="5">
        <v>41579</v>
      </c>
      <c r="M95" s="8" t="str">
        <f t="shared" si="1"/>
        <v>else if(w=="1536" &amp;&amp; h=="2048"){
        console.log("I am a iPad Air!");
        dpi=264;
        }</v>
      </c>
    </row>
    <row r="96" spans="2:13" ht="60" x14ac:dyDescent="0.25">
      <c r="B96" s="1" t="s">
        <v>128</v>
      </c>
      <c r="C96" s="4">
        <v>320</v>
      </c>
      <c r="D96" s="4">
        <v>568</v>
      </c>
      <c r="E96" s="4">
        <v>640</v>
      </c>
      <c r="F96" s="4">
        <v>1136</v>
      </c>
      <c r="G96" s="4">
        <v>326</v>
      </c>
      <c r="H96" s="4">
        <v>2</v>
      </c>
      <c r="I96" s="4" t="s">
        <v>83</v>
      </c>
      <c r="J96" s="5">
        <v>41537</v>
      </c>
      <c r="M96" s="8" t="str">
        <f t="shared" si="1"/>
        <v>else if(w=="640" &amp;&amp; h=="1136"){
        console.log("I am a iPhone 5C!");
        dpi=326;
        }</v>
      </c>
    </row>
    <row r="97" spans="2:13" ht="60" x14ac:dyDescent="0.25">
      <c r="B97" s="1" t="s">
        <v>129</v>
      </c>
      <c r="C97" s="4">
        <v>320</v>
      </c>
      <c r="D97" s="4">
        <v>568</v>
      </c>
      <c r="E97" s="4">
        <v>640</v>
      </c>
      <c r="F97" s="4">
        <v>1136</v>
      </c>
      <c r="G97" s="4">
        <v>326</v>
      </c>
      <c r="H97" s="4">
        <v>2</v>
      </c>
      <c r="I97" s="4" t="s">
        <v>83</v>
      </c>
      <c r="J97" s="5">
        <v>41537</v>
      </c>
      <c r="M97" s="8" t="str">
        <f t="shared" si="1"/>
        <v>else if(w=="640" &amp;&amp; h=="1136"){
        console.log("I am a iPhone 5S!");
        dpi=326;
        }</v>
      </c>
    </row>
    <row r="98" spans="2:13" ht="60" x14ac:dyDescent="0.25">
      <c r="B98" s="1" t="s">
        <v>130</v>
      </c>
      <c r="C98" s="4">
        <v>768</v>
      </c>
      <c r="D98" s="4">
        <v>1024</v>
      </c>
      <c r="E98" s="4">
        <v>1536</v>
      </c>
      <c r="F98" s="4">
        <v>2048</v>
      </c>
      <c r="G98" s="4">
        <v>264</v>
      </c>
      <c r="H98" s="4">
        <v>2</v>
      </c>
      <c r="I98" s="4" t="s">
        <v>96</v>
      </c>
      <c r="J98" s="5">
        <v>41225</v>
      </c>
      <c r="M98" s="8" t="str">
        <f t="shared" si="1"/>
        <v>else if(w=="1536" &amp;&amp; h=="2048"){
        console.log("I am a iPad 4th gen!");
        dpi=264;
        }</v>
      </c>
    </row>
    <row r="99" spans="2:13" ht="60" x14ac:dyDescent="0.25">
      <c r="B99" s="1" t="s">
        <v>131</v>
      </c>
      <c r="C99" s="4">
        <v>768</v>
      </c>
      <c r="D99" s="4">
        <v>1024</v>
      </c>
      <c r="E99" s="4">
        <v>768</v>
      </c>
      <c r="F99" s="4">
        <v>1024</v>
      </c>
      <c r="G99" s="4">
        <v>163</v>
      </c>
      <c r="H99" s="4">
        <v>1</v>
      </c>
      <c r="I99" s="4" t="s">
        <v>85</v>
      </c>
      <c r="J99" s="5">
        <v>41215</v>
      </c>
      <c r="M99" s="8" t="str">
        <f t="shared" si="1"/>
        <v>else if(w=="768" &amp;&amp; h=="1024"){
        console.log("I am a iPad mini!");
        dpi=163;
        }</v>
      </c>
    </row>
    <row r="100" spans="2:13" ht="60" x14ac:dyDescent="0.25">
      <c r="B100" s="1" t="s">
        <v>132</v>
      </c>
      <c r="C100" s="4">
        <v>320</v>
      </c>
      <c r="D100" s="4">
        <v>568</v>
      </c>
      <c r="E100" s="4">
        <v>640</v>
      </c>
      <c r="F100" s="4">
        <v>1136</v>
      </c>
      <c r="G100" s="4">
        <v>326</v>
      </c>
      <c r="H100" s="4">
        <v>2</v>
      </c>
      <c r="I100" s="4" t="s">
        <v>83</v>
      </c>
      <c r="J100" s="5">
        <v>41193</v>
      </c>
      <c r="M100" s="8" t="str">
        <f t="shared" si="1"/>
        <v>else if(w=="640" &amp;&amp; h=="1136"){
        console.log("I am a iPod touch 5th gen!");
        dpi=326;
        }</v>
      </c>
    </row>
    <row r="101" spans="2:13" ht="60" x14ac:dyDescent="0.25">
      <c r="B101" s="1" t="s">
        <v>133</v>
      </c>
      <c r="C101" s="4">
        <v>320</v>
      </c>
      <c r="D101" s="4">
        <v>568</v>
      </c>
      <c r="E101" s="4">
        <v>640</v>
      </c>
      <c r="F101" s="4">
        <v>1136</v>
      </c>
      <c r="G101" s="4">
        <v>326</v>
      </c>
      <c r="H101" s="4">
        <v>2</v>
      </c>
      <c r="I101" s="4" t="s">
        <v>83</v>
      </c>
      <c r="J101" s="5">
        <v>41173</v>
      </c>
      <c r="M101" s="8" t="str">
        <f t="shared" si="1"/>
        <v>else if(w=="640" &amp;&amp; h=="1136"){
        console.log("I am a iPhone 5!");
        dpi=326;
        }</v>
      </c>
    </row>
    <row r="102" spans="2:13" ht="60" x14ac:dyDescent="0.25">
      <c r="B102" s="1" t="s">
        <v>134</v>
      </c>
      <c r="C102" s="4">
        <v>768</v>
      </c>
      <c r="D102" s="4">
        <v>1024</v>
      </c>
      <c r="E102" s="4">
        <v>1536</v>
      </c>
      <c r="F102" s="4">
        <v>2048</v>
      </c>
      <c r="G102" s="4">
        <v>264</v>
      </c>
      <c r="H102" s="4">
        <v>2</v>
      </c>
      <c r="I102" s="4" t="s">
        <v>96</v>
      </c>
      <c r="J102" s="5">
        <v>40984</v>
      </c>
      <c r="M102" s="8" t="str">
        <f t="shared" si="1"/>
        <v>else if(w=="1536" &amp;&amp; h=="2048"){
        console.log("I am a iPad 3rd gen!");
        dpi=264;
        }</v>
      </c>
    </row>
    <row r="103" spans="2:13" ht="60" x14ac:dyDescent="0.25">
      <c r="B103" s="1" t="s">
        <v>135</v>
      </c>
      <c r="C103" s="4">
        <v>320</v>
      </c>
      <c r="D103" s="4">
        <v>480</v>
      </c>
      <c r="E103" s="4">
        <v>640</v>
      </c>
      <c r="F103" s="4">
        <v>960</v>
      </c>
      <c r="G103" s="4">
        <v>326</v>
      </c>
      <c r="H103" s="4">
        <v>2</v>
      </c>
      <c r="I103" s="4" t="s">
        <v>136</v>
      </c>
      <c r="J103" s="5">
        <v>40830</v>
      </c>
      <c r="M103" s="8" t="str">
        <f t="shared" si="1"/>
        <v>else if(w=="640" &amp;&amp; h=="960"){
        console.log("I am a iPhone 4S!");
        dpi=326;
        }</v>
      </c>
    </row>
    <row r="104" spans="2:13" ht="60" x14ac:dyDescent="0.25">
      <c r="B104" s="1" t="s">
        <v>137</v>
      </c>
      <c r="C104" s="4">
        <v>768</v>
      </c>
      <c r="D104" s="4">
        <v>1024</v>
      </c>
      <c r="E104" s="4">
        <v>768</v>
      </c>
      <c r="F104" s="4">
        <v>1024</v>
      </c>
      <c r="G104" s="4">
        <v>132</v>
      </c>
      <c r="H104" s="4">
        <v>1</v>
      </c>
      <c r="I104" s="4" t="s">
        <v>96</v>
      </c>
      <c r="J104" s="5">
        <v>40613</v>
      </c>
      <c r="M104" s="8" t="str">
        <f t="shared" si="1"/>
        <v>else if(w=="768" &amp;&amp; h=="1024"){
        console.log("I am a iPad 2!");
        dpi=132;
        }</v>
      </c>
    </row>
    <row r="105" spans="2:13" ht="60" x14ac:dyDescent="0.25">
      <c r="B105" s="1" t="s">
        <v>138</v>
      </c>
      <c r="C105" s="4">
        <v>320</v>
      </c>
      <c r="D105" s="4">
        <v>480</v>
      </c>
      <c r="E105" s="4">
        <v>640</v>
      </c>
      <c r="F105" s="4">
        <v>960</v>
      </c>
      <c r="G105" s="4">
        <v>326</v>
      </c>
      <c r="H105" s="4">
        <v>2</v>
      </c>
      <c r="I105" s="4" t="s">
        <v>136</v>
      </c>
      <c r="J105" s="5">
        <v>40422</v>
      </c>
      <c r="M105" s="8" t="str">
        <f t="shared" si="1"/>
        <v>else if(w=="640" &amp;&amp; h=="960"){
        console.log("I am a iPod touch 4th gen!");
        dpi=326;
        }</v>
      </c>
    </row>
    <row r="106" spans="2:13" ht="60" x14ac:dyDescent="0.25">
      <c r="B106" s="1" t="s">
        <v>139</v>
      </c>
      <c r="C106" s="4">
        <v>320</v>
      </c>
      <c r="D106" s="4">
        <v>480</v>
      </c>
      <c r="E106" s="4">
        <v>640</v>
      </c>
      <c r="F106" s="4">
        <v>960</v>
      </c>
      <c r="G106" s="4">
        <v>326</v>
      </c>
      <c r="H106" s="4">
        <v>2</v>
      </c>
      <c r="I106" s="4" t="s">
        <v>136</v>
      </c>
      <c r="J106" s="5">
        <v>40350</v>
      </c>
      <c r="M106" s="8" t="str">
        <f t="shared" si="1"/>
        <v>else if(w=="640" &amp;&amp; h=="960"){
        console.log("I am a iPhone 4!");
        dpi=326;
        }</v>
      </c>
    </row>
    <row r="107" spans="2:13" ht="60" x14ac:dyDescent="0.25">
      <c r="B107" s="1" t="s">
        <v>140</v>
      </c>
      <c r="C107" s="4">
        <v>768</v>
      </c>
      <c r="D107" s="4">
        <v>1024</v>
      </c>
      <c r="E107" s="4">
        <v>768</v>
      </c>
      <c r="F107" s="4">
        <v>1024</v>
      </c>
      <c r="G107" s="4">
        <v>132</v>
      </c>
      <c r="H107" s="4">
        <v>1</v>
      </c>
      <c r="I107" s="4" t="s">
        <v>96</v>
      </c>
      <c r="J107" s="5">
        <v>40271</v>
      </c>
      <c r="M107" s="8" t="str">
        <f t="shared" si="1"/>
        <v>else if(w=="768" &amp;&amp; h=="1024"){
        console.log("I am a iPad 1st gen!");
        dpi=132;
        }</v>
      </c>
    </row>
    <row r="108" spans="2:13" ht="60" x14ac:dyDescent="0.25">
      <c r="B108" s="1" t="s">
        <v>141</v>
      </c>
      <c r="C108" s="4">
        <v>320</v>
      </c>
      <c r="D108" s="4">
        <v>480</v>
      </c>
      <c r="E108" s="4">
        <v>320</v>
      </c>
      <c r="F108" s="4">
        <v>480</v>
      </c>
      <c r="G108" s="4">
        <v>163</v>
      </c>
      <c r="H108" s="4">
        <v>1</v>
      </c>
      <c r="I108" s="4" t="s">
        <v>136</v>
      </c>
      <c r="J108" s="5">
        <v>40065</v>
      </c>
      <c r="M108" s="8" t="str">
        <f t="shared" si="1"/>
        <v>else if(w=="320" &amp;&amp; h=="480"){
        console.log("I am a iPod touch 3rd gen!");
        dpi=163;
        }</v>
      </c>
    </row>
    <row r="109" spans="2:13" ht="60" x14ac:dyDescent="0.25">
      <c r="B109" s="1" t="s">
        <v>142</v>
      </c>
      <c r="C109" s="4">
        <v>320</v>
      </c>
      <c r="D109" s="4">
        <v>480</v>
      </c>
      <c r="E109" s="4">
        <v>320</v>
      </c>
      <c r="F109" s="4">
        <v>480</v>
      </c>
      <c r="G109" s="4">
        <v>163</v>
      </c>
      <c r="H109" s="4">
        <v>1</v>
      </c>
      <c r="I109" s="4" t="s">
        <v>136</v>
      </c>
      <c r="J109" s="5">
        <v>39983</v>
      </c>
      <c r="M109" s="8" t="str">
        <f t="shared" si="1"/>
        <v>else if(w=="320" &amp;&amp; h=="480"){
        console.log("I am a iPhone 3GS!");
        dpi=163;
        }</v>
      </c>
    </row>
    <row r="110" spans="2:13" ht="60" x14ac:dyDescent="0.25">
      <c r="B110" s="1" t="s">
        <v>143</v>
      </c>
      <c r="C110" s="4">
        <v>320</v>
      </c>
      <c r="D110" s="4">
        <v>480</v>
      </c>
      <c r="E110" s="4">
        <v>320</v>
      </c>
      <c r="F110" s="4">
        <v>480</v>
      </c>
      <c r="G110" s="4">
        <v>163</v>
      </c>
      <c r="H110" s="4">
        <v>1</v>
      </c>
      <c r="I110" s="4" t="s">
        <v>136</v>
      </c>
      <c r="J110" s="5">
        <v>39700</v>
      </c>
      <c r="M110" s="8" t="str">
        <f t="shared" si="1"/>
        <v>else if(w=="320" &amp;&amp; h=="480"){
        console.log("I am a iPod touch 2nd gen!");
        dpi=163;
        }</v>
      </c>
    </row>
    <row r="111" spans="2:13" ht="60" x14ac:dyDescent="0.25">
      <c r="B111" s="1" t="s">
        <v>144</v>
      </c>
      <c r="C111" s="4">
        <v>320</v>
      </c>
      <c r="D111" s="4">
        <v>480</v>
      </c>
      <c r="E111" s="4">
        <v>320</v>
      </c>
      <c r="F111" s="4">
        <v>480</v>
      </c>
      <c r="G111" s="4">
        <v>163</v>
      </c>
      <c r="H111" s="4">
        <v>1</v>
      </c>
      <c r="I111" s="4" t="s">
        <v>136</v>
      </c>
      <c r="J111" s="5">
        <v>39640</v>
      </c>
      <c r="M111" s="8" t="str">
        <f t="shared" si="1"/>
        <v>else if(w=="320" &amp;&amp; h=="480"){
        console.log("I am a iPhone 3G!");
        dpi=163;
        }</v>
      </c>
    </row>
    <row r="112" spans="2:13" ht="60" x14ac:dyDescent="0.25">
      <c r="B112" s="1" t="s">
        <v>145</v>
      </c>
      <c r="C112" s="4">
        <v>320</v>
      </c>
      <c r="D112" s="4">
        <v>480</v>
      </c>
      <c r="E112" s="4">
        <v>320</v>
      </c>
      <c r="F112" s="4">
        <v>480</v>
      </c>
      <c r="G112" s="4">
        <v>163</v>
      </c>
      <c r="H112" s="4">
        <v>1</v>
      </c>
      <c r="I112" s="4" t="s">
        <v>136</v>
      </c>
      <c r="J112" s="5">
        <v>39330</v>
      </c>
      <c r="M112" s="8" t="str">
        <f t="shared" si="1"/>
        <v>else if(w=="320" &amp;&amp; h=="480"){
        console.log("I am a iPod touch 1st gen!");
        dpi=163;
        }</v>
      </c>
    </row>
    <row r="113" spans="2:13" ht="60" x14ac:dyDescent="0.25">
      <c r="B113" s="1" t="s">
        <v>146</v>
      </c>
      <c r="C113" s="4">
        <v>320</v>
      </c>
      <c r="D113" s="4">
        <v>480</v>
      </c>
      <c r="E113" s="4">
        <v>320</v>
      </c>
      <c r="F113" s="4">
        <v>480</v>
      </c>
      <c r="G113" s="4">
        <v>163</v>
      </c>
      <c r="H113" s="4">
        <v>1</v>
      </c>
      <c r="I113" s="4" t="s">
        <v>136</v>
      </c>
      <c r="J113" s="5">
        <v>39262</v>
      </c>
      <c r="M113" s="8" t="str">
        <f t="shared" si="1"/>
        <v>else if(w=="320" &amp;&amp; h=="480"){
        console.log("I am a iPhone 1st gen!");
        dpi=163;
        }</v>
      </c>
    </row>
  </sheetData>
  <hyperlinks>
    <hyperlink ref="B2" r:id="rId1" display="https://www.ios-resolution.com/iphone-16-pro-max/" xr:uid="{80CE9EBB-F7FE-468E-B78A-427764DA8366}"/>
    <hyperlink ref="B3" r:id="rId2" display="https://www.ios-resolution.com/iphone-16-pro/" xr:uid="{4EBD3257-D090-43BA-9447-54E81F744A92}"/>
    <hyperlink ref="B4" r:id="rId3" display="https://www.ios-resolution.com/iphone-16-plus/" xr:uid="{45A41042-4C74-4D8C-85A5-CE4F8E85375D}"/>
    <hyperlink ref="B5" r:id="rId4" display="https://www.ios-resolution.com/iphone-16/" xr:uid="{CF5EBD22-2E12-4A78-A5B0-18F3D03B6DCE}"/>
    <hyperlink ref="B6" r:id="rId5" display="https://www.ios-resolution.com/iphone-15-pro-max/" xr:uid="{3AFE4FCB-DB29-453A-89DA-7BDC13E0144A}"/>
    <hyperlink ref="B7" r:id="rId6" display="https://www.ios-resolution.com/iphone-15-pro/" xr:uid="{50E3CCA7-9BC9-472C-AAD6-A8C9DDD1E8BA}"/>
    <hyperlink ref="B8" r:id="rId7" display="https://www.ios-resolution.com/iphone-15-plus/" xr:uid="{1A5A6AA5-1275-4F42-91FF-17FA3C8BFA9A}"/>
    <hyperlink ref="B9" r:id="rId8" display="https://www.ios-resolution.com/iphone-15/" xr:uid="{A8F7E790-27FB-486B-B326-A056E27B2F81}"/>
    <hyperlink ref="B10" r:id="rId9" display="https://www.ios-resolution.com/apple-watch-ultra-2/" xr:uid="{5F1F7AB8-132B-4736-B8D7-453388677ACB}"/>
    <hyperlink ref="B11" r:id="rId10" display="https://www.ios-resolution.com/apple-watch-series-9-large/" xr:uid="{FCAB09D7-E034-4ACD-9DFD-562B40E1AB8F}"/>
    <hyperlink ref="B12" r:id="rId11" display="https://www.ios-resolution.com/apple-watch-series-9-small/" xr:uid="{DDF2139A-8254-4B5F-9511-5F0D0B0B0B01}"/>
    <hyperlink ref="B13" r:id="rId12" display="https://www.ios-resolution.com/ipad-pro-6th-gen-12-9/" xr:uid="{74AD46EF-1D97-4B44-B753-D7E6A268794C}"/>
    <hyperlink ref="B14" r:id="rId13" display="https://www.ios-resolution.com/ipad-pro-6th-gen-11/" xr:uid="{4B232374-D7CF-4C98-B02C-1C23E62A77AA}"/>
    <hyperlink ref="B15" r:id="rId14" display="https://www.ios-resolution.com/ipad-10th-gen/" xr:uid="{5DBF4C1E-9C38-46CC-B6A7-B4DC39AB066B}"/>
    <hyperlink ref="B16" r:id="rId15" display="https://www.ios-resolution.com/iphone-14-plus/" xr:uid="{5C2E84AC-79DD-45C9-8BC1-EC92A4DE3987}"/>
    <hyperlink ref="B17" r:id="rId16" display="https://www.ios-resolution.com/apple-watch-ultra/" xr:uid="{7CFEC2FB-017E-4850-87A3-3D6D890DE690}"/>
    <hyperlink ref="B18" r:id="rId17" display="https://www.ios-resolution.com/iphone-14-pro-max/" xr:uid="{1DE1D10C-015A-40BC-A9E5-AEB9EF3C7CAA}"/>
    <hyperlink ref="B19" r:id="rId18" display="https://www.ios-resolution.com/iphone-14-pro/" xr:uid="{D242BD07-C1FB-462E-8301-2284D7FDF709}"/>
    <hyperlink ref="B20" r:id="rId19" display="https://www.ios-resolution.com/iphone-14/" xr:uid="{8F6EA461-B266-48D6-9CDA-E810AE6786E2}"/>
    <hyperlink ref="B21" r:id="rId20" display="https://www.ios-resolution.com/apple-watch-series-8-large/" xr:uid="{A4446BA5-867F-4FC7-9491-250C29CD4EEB}"/>
    <hyperlink ref="B22" r:id="rId21" display="https://www.ios-resolution.com/apple-watch-series-8-small/" xr:uid="{2382A7FB-1FC2-4C11-A85D-0A5D9930E88A}"/>
    <hyperlink ref="B23" r:id="rId22" display="https://www.ios-resolution.com/apple-watch-se-2nd-large/" xr:uid="{1BAAC7AA-1BCA-4617-8723-2449005F5490}"/>
    <hyperlink ref="B24" r:id="rId23" display="https://www.ios-resolution.com/apple-watch-se-2nd-small/" xr:uid="{298DA553-61FA-414E-8E38-DF2DFAE3C084}"/>
    <hyperlink ref="B25" r:id="rId24" display="https://www.ios-resolution.com/iphone-se-3rd-gen/" xr:uid="{5F301A43-04EA-4EE5-B104-9CD630274EFE}"/>
    <hyperlink ref="B26" r:id="rId25" display="https://www.ios-resolution.com/ipad-air-5th-gen/" xr:uid="{C5E1EF23-B3ED-4187-BF39-316CF7C3A571}"/>
    <hyperlink ref="B27" r:id="rId26" display="https://www.ios-resolution.com/apple-watch-series-7-large/" xr:uid="{EABA5EA5-CBA7-4090-A94E-8116FABDEBA4}"/>
    <hyperlink ref="B28" r:id="rId27" display="https://www.ios-resolution.com/apple-watch-series-7-small/" xr:uid="{7628EE52-F28B-4241-A2E8-911068E8F2D7}"/>
    <hyperlink ref="B29" r:id="rId28" display="https://www.ios-resolution.com/ipad-mini-6th-gen/" xr:uid="{A39EAB65-A9E6-4AA0-B138-9E5601B61A80}"/>
    <hyperlink ref="B30" r:id="rId29" display="https://www.ios-resolution.com/iphone-13/" xr:uid="{0E51EA7D-876C-4D32-9200-816AD0BC721E}"/>
    <hyperlink ref="B31" r:id="rId30" display="https://www.ios-resolution.com/iphone-13-mini/" xr:uid="{9CD3CFCE-9281-40EA-A966-B469510FE09C}"/>
    <hyperlink ref="B32" r:id="rId31" display="https://www.ios-resolution.com/iphone-13-pro-max/" xr:uid="{0E6F0D38-43EA-47CC-B54B-BBB535F05B09}"/>
    <hyperlink ref="B33" r:id="rId32" display="https://www.ios-resolution.com/iphone-13-pro/" xr:uid="{CD62E7EB-9BA5-48DF-8CEC-F189191B4D50}"/>
    <hyperlink ref="B34" r:id="rId33" display="https://www.ios-resolution.com/ipad-9th-gen/" xr:uid="{33752E51-A399-4EB7-B5D3-DCDBF48391DF}"/>
    <hyperlink ref="B35" r:id="rId34" display="https://www.ios-resolution.com/ipad-pro-5th-gen-12-9/" xr:uid="{34144220-4DA0-4EA7-B3D2-D8977392937D}"/>
    <hyperlink ref="B36" r:id="rId35" display="https://www.ios-resolution.com/ipad-pro-5th-gen-11/" xr:uid="{F08AE721-8A06-4C3D-9C8F-0212BE4D1EEE}"/>
    <hyperlink ref="B37" r:id="rId36" display="https://www.ios-resolution.com/ipad-air-4th-gen/" xr:uid="{E5CBF8F8-848A-45A0-9131-979CC0424A07}"/>
    <hyperlink ref="B38" r:id="rId37" display="https://www.ios-resolution.com/iphone-12/" xr:uid="{4C04184E-2A9F-4A30-82D3-68727CCC6BA2}"/>
    <hyperlink ref="B39" r:id="rId38" display="https://www.ios-resolution.com/iphone-12-mini/" xr:uid="{C95FED1B-DED8-4079-B444-AF3D83798FA2}"/>
    <hyperlink ref="B40" r:id="rId39" display="https://www.ios-resolution.com/iphone-12-pro-max/" xr:uid="{03D795E6-B58E-43B8-85C1-301D7B594906}"/>
    <hyperlink ref="B41" r:id="rId40" display="https://www.ios-resolution.com/iphone-12-pro/" xr:uid="{D4DC7A5C-BC86-4BED-8DD6-E0EBF5032A52}"/>
    <hyperlink ref="B42" r:id="rId41" display="https://www.ios-resolution.com/ipad-8th-gen/" xr:uid="{CB81291B-9E4D-4076-B583-6EE233F15CC3}"/>
    <hyperlink ref="B43" r:id="rId42" display="https://www.ios-resolution.com/apple-watch-series-6-large/" xr:uid="{897B5D1B-F54C-4199-8AA5-1142394696B6}"/>
    <hyperlink ref="B44" r:id="rId43" display="https://www.ios-resolution.com/apple-watch-series-6-small/" xr:uid="{DDFD7D3E-14D4-4249-A5E1-6005C8AB8982}"/>
    <hyperlink ref="B45" r:id="rId44" display="https://www.ios-resolution.com/apple-watch-se-1st-large/" xr:uid="{29E9BE74-F62E-4C25-A575-376859EAE4AB}"/>
    <hyperlink ref="B46" r:id="rId45" display="https://www.ios-resolution.com/apple-watch-se-1st-small/" xr:uid="{C53E5C97-0B13-4196-8748-6CA15015EBA0}"/>
    <hyperlink ref="B47" r:id="rId46" display="https://www.ios-resolution.com/iphone-se-2nd-gen/" xr:uid="{97A20A0D-BBEA-41CC-A3C1-DEB465AB15A8}"/>
    <hyperlink ref="B48" r:id="rId47" display="https://www.ios-resolution.com/ipad-pro-4th-gen-12-9/" xr:uid="{3202CBCC-E0B3-499C-8085-243FF8BEA26E}"/>
    <hyperlink ref="B49" r:id="rId48" display="https://www.ios-resolution.com/ipad-pro-4th-gen-11/" xr:uid="{4E3B55B0-C1C5-40A8-BFCF-6A1E31EC86F0}"/>
    <hyperlink ref="B50" r:id="rId49" display="https://www.ios-resolution.com/ipad-7th-gen/" xr:uid="{E9363801-37B2-4C03-99A0-C4C0F27636CA}"/>
    <hyperlink ref="B51" r:id="rId50" display="https://www.ios-resolution.com/iphone-11-pro-max/" xr:uid="{4ED76B2B-4A8D-4D92-A4B7-FE735889F642}"/>
    <hyperlink ref="B52" r:id="rId51" display="https://www.ios-resolution.com/iphone-11-pro/" xr:uid="{B7415B32-56AC-4E8B-AE02-26615E52D8D0}"/>
    <hyperlink ref="B53" r:id="rId52" display="https://www.ios-resolution.com/iphone-11/" xr:uid="{199EE8A3-A107-4394-AAF2-2E9D379B3848}"/>
    <hyperlink ref="B54" r:id="rId53" display="https://www.ios-resolution.com/apple-watch-series-5-large/" xr:uid="{731AB2FE-B871-4E3E-BDF8-B8CEB4E2C149}"/>
    <hyperlink ref="B55" r:id="rId54" display="https://www.ios-resolution.com/apple-watch-series-5-small/" xr:uid="{FA184244-9586-4385-BA71-7CABF044B392}"/>
    <hyperlink ref="B56" r:id="rId55" display="https://www.ios-resolution.com/ipod-touch-7th-gen/" xr:uid="{A904688F-54F7-41DE-B3FD-46E85399EFE5}"/>
    <hyperlink ref="B57" r:id="rId56" display="https://www.ios-resolution.com/ipad-mini-5th-gen/" xr:uid="{422A8344-722B-49D7-9D32-C5A16C890701}"/>
    <hyperlink ref="B58" r:id="rId57" display="https://www.ios-resolution.com/ipad-air-3rd-gen/" xr:uid="{DB3D83E1-18E8-4ADE-B96C-177B0BBAFED4}"/>
    <hyperlink ref="B59" r:id="rId58" display="https://www.ios-resolution.com/ipad-pro-3rd-gen-12-9/" xr:uid="{4B2A1C68-F0E4-4E8B-858C-AF4407D9FFB2}"/>
    <hyperlink ref="B60" r:id="rId59" display="https://www.ios-resolution.com/ipad-pro-3rd-gen-11/" xr:uid="{B02759E3-9E48-48DE-BC37-319232FBC184}"/>
    <hyperlink ref="B61" r:id="rId60" display="https://www.ios-resolution.com/iphone-xr/" xr:uid="{DE755310-EF72-48CD-8AE4-433B5F329510}"/>
    <hyperlink ref="B62" r:id="rId61" display="https://www.ios-resolution.com/iphone-xs-max/" xr:uid="{11AFBCB6-7DA0-4B25-BB06-7C6F729E4EA5}"/>
    <hyperlink ref="B63" r:id="rId62" display="https://www.ios-resolution.com/iphone-xs/" xr:uid="{421E5D7E-E80E-4C35-AF5A-91D6F1BDED17}"/>
    <hyperlink ref="B64" r:id="rId63" display="https://www.ios-resolution.com/apple-watch-series-4-large/" xr:uid="{7EDB8790-2402-426A-B9FC-EAEE02877717}"/>
    <hyperlink ref="B65" r:id="rId64" display="https://www.ios-resolution.com/apple-watch-series-4-small/" xr:uid="{26121868-6F86-4756-A3F2-2D00092C232A}"/>
    <hyperlink ref="B66" r:id="rId65" display="https://www.ios-resolution.com/ipad-6th-gen/" xr:uid="{C75F945B-F8D5-476B-846B-2D5F94CA2A3B}"/>
    <hyperlink ref="B67" r:id="rId66" display="https://www.ios-resolution.com/iphone-x/" xr:uid="{7741A702-C86D-459A-AB20-7C51F4E8C318}"/>
    <hyperlink ref="B68" r:id="rId67" display="https://www.ios-resolution.com/iphone-8-plus/" xr:uid="{B5B0AB35-9140-46C7-BAE6-96195DBA86AC}"/>
    <hyperlink ref="B69" r:id="rId68" display="https://www.ios-resolution.com/iphone-8/" xr:uid="{77CA7551-93E0-4D02-BCBD-13A2C94084F4}"/>
    <hyperlink ref="B70" r:id="rId69" display="https://www.ios-resolution.com/apple-watch-series-3-large/" xr:uid="{FAF7F74A-DF4A-4AA7-958D-44AB7A3D8005}"/>
    <hyperlink ref="B71" r:id="rId70" display="https://www.ios-resolution.com/apple-watch-series-3-small/" xr:uid="{DA4A4C83-04A5-4121-962D-5C369EA3B3D2}"/>
    <hyperlink ref="B72" r:id="rId71" display="https://www.ios-resolution.com/ipad-pro-2nd-gen-12-9/" xr:uid="{FD2152A2-EBE8-494B-8D87-D674A6B32A92}"/>
    <hyperlink ref="B73" r:id="rId72" display="https://www.ios-resolution.com/ipad-pro-2nd-gen-10-5/" xr:uid="{05EB5E62-4538-4552-A161-E09209EF81E3}"/>
    <hyperlink ref="B74" r:id="rId73" display="https://www.ios-resolution.com/ipad-5th-gen/" xr:uid="{E92FAEDB-4432-4976-8040-868C2F61820E}"/>
    <hyperlink ref="B75" r:id="rId74" display="https://www.ios-resolution.com/iphone-7-plus/" xr:uid="{2BE4640F-9EB4-4539-B0A9-B552B276E634}"/>
    <hyperlink ref="B76" r:id="rId75" display="https://www.ios-resolution.com/iphone-7/" xr:uid="{C80FE551-0375-4B68-9B75-EDFE554974E8}"/>
    <hyperlink ref="B77" r:id="rId76" display="https://www.ios-resolution.com/apple-watch-series-2-large/" xr:uid="{469108D7-F3B9-414A-BCD1-C4D9B76431A2}"/>
    <hyperlink ref="B78" r:id="rId77" display="https://www.ios-resolution.com/apple-watch-series-2-small/" xr:uid="{6DAD2EA0-205D-485D-92B3-8387A0074807}"/>
    <hyperlink ref="B79" r:id="rId78" display="https://www.ios-resolution.com/apple-watch-series-1-large/" xr:uid="{1EB7FFCA-FF12-4F64-90F5-8520000DF2C6}"/>
    <hyperlink ref="B80" r:id="rId79" display="https://www.ios-resolution.com/apple-watch-series-1-small/" xr:uid="{495C05E5-8938-4FF2-BACD-770DDE3F3072}"/>
    <hyperlink ref="B81" r:id="rId80" display="https://www.ios-resolution.com/iphone-se-1st-gen/" xr:uid="{73BCC22A-4017-4802-B536-8D798EA23C76}"/>
    <hyperlink ref="B82" r:id="rId81" display="https://www.ios-resolution.com/ipad-pro-1st-gen-9-7/" xr:uid="{2A7A3525-8E36-4E70-949F-8C598011A515}"/>
    <hyperlink ref="B83" r:id="rId82" display="https://www.ios-resolution.com/ipad-pro-1st-gen-12-9/" xr:uid="{0AF3A531-DE5F-4C07-B313-260F596A5D6D}"/>
    <hyperlink ref="B84" r:id="rId83" display="https://www.ios-resolution.com/iphone-6s-plus/" xr:uid="{77080705-22A3-4BFB-808B-DCC38E9DF06C}"/>
    <hyperlink ref="B85" r:id="rId84" display="https://www.ios-resolution.com/iphone-6s/" xr:uid="{AC37D5F0-129A-44F0-A357-EA82549614A3}"/>
    <hyperlink ref="B86" r:id="rId85" display="https://www.ios-resolution.com/ipad-mini-4/" xr:uid="{E00A6F50-43E6-4C5F-87FE-095860211CAF}"/>
    <hyperlink ref="B87" r:id="rId86" display="https://www.ios-resolution.com/ipod-touch-6th-gen/" xr:uid="{022A7C81-536A-42D3-BB70-905493E2AFA4}"/>
    <hyperlink ref="B88" r:id="rId87" display="https://www.ios-resolution.com/apple-watch-1st-series-0-large/" xr:uid="{ABEAC3F0-AAAE-45BC-9964-4DC29F4BA59B}"/>
    <hyperlink ref="B89" r:id="rId88" display="https://www.ios-resolution.com/apple-watch-1st-series-0-small/" xr:uid="{3D63136B-4CE0-46D5-963F-285561A0189B}"/>
    <hyperlink ref="B90" r:id="rId89" display="https://www.ios-resolution.com/ipad-air-2/" xr:uid="{7445C93C-303F-4DF0-8BFB-91A5D64F0416}"/>
    <hyperlink ref="B91" r:id="rId90" display="https://www.ios-resolution.com/ipad-mini-3/" xr:uid="{4B0FB5D2-30F8-4A49-BDFA-EF204900026B}"/>
    <hyperlink ref="B92" r:id="rId91" display="https://www.ios-resolution.com/iphone-6-plus/" xr:uid="{495459BD-A479-4A5D-863F-4E910800E832}"/>
    <hyperlink ref="B93" r:id="rId92" display="https://www.ios-resolution.com/iphone-6/" xr:uid="{55D54797-2B52-4487-8023-587BBECABD4C}"/>
    <hyperlink ref="B94" r:id="rId93" display="https://www.ios-resolution.com/ipad-mini-2/" xr:uid="{B1F0D554-E1C1-402A-AF7E-5BBA1D3099AF}"/>
    <hyperlink ref="B95" r:id="rId94" display="https://www.ios-resolution.com/ipad-air/" xr:uid="{6682ABBD-A755-4B60-94E3-DD623FA41889}"/>
    <hyperlink ref="B96" r:id="rId95" display="https://www.ios-resolution.com/iphone-5c/" xr:uid="{0B910DA3-447B-470F-A019-066C51EEA601}"/>
    <hyperlink ref="B97" r:id="rId96" display="https://www.ios-resolution.com/iphone-5s/" xr:uid="{FB872BA0-BCE3-4F47-A80A-263FCABD5BEE}"/>
    <hyperlink ref="B98" r:id="rId97" display="https://www.ios-resolution.com/ipad-4th-gen/" xr:uid="{449E7103-C9B4-406B-A851-06A04E4D4F1F}"/>
    <hyperlink ref="B99" r:id="rId98" display="https://www.ios-resolution.com/ipad-mini/" xr:uid="{209DC0A0-EF0F-47C5-9D31-7B232B306404}"/>
    <hyperlink ref="B100" r:id="rId99" display="https://www.ios-resolution.com/ipod-touch-5th-gen/" xr:uid="{490ED62A-4FD6-4218-A73A-951B6C2682D6}"/>
    <hyperlink ref="B101" r:id="rId100" display="https://www.ios-resolution.com/iphone-5/" xr:uid="{21C91868-E52B-4F5A-AFF5-364F7B024154}"/>
    <hyperlink ref="B102" r:id="rId101" display="https://www.ios-resolution.com/ipad-3rd-gen/" xr:uid="{8FD1B7A2-3D26-428D-96C0-87AB3DC2C412}"/>
    <hyperlink ref="B103" r:id="rId102" display="https://www.ios-resolution.com/iphone-4s/" xr:uid="{F1F7DBC6-83D2-4629-A1B8-02395CE2B140}"/>
    <hyperlink ref="B104" r:id="rId103" display="https://www.ios-resolution.com/ipad-2/" xr:uid="{E7C1000D-CC20-4D49-B170-5DB6EA651B04}"/>
    <hyperlink ref="B105" r:id="rId104" display="https://www.ios-resolution.com/ipod-touch-4th-gen/" xr:uid="{BB2D0E21-9BF2-41BB-A6C4-3DED888BCC0B}"/>
    <hyperlink ref="B106" r:id="rId105" display="https://www.ios-resolution.com/iphone-4/" xr:uid="{E15F2663-E4B7-419C-BDB5-C5CD35BF185E}"/>
    <hyperlink ref="B107" r:id="rId106" display="https://www.ios-resolution.com/ipad-1st-gen/" xr:uid="{7EBC407C-ACF4-427D-B286-6751F7DA2FBD}"/>
    <hyperlink ref="B108" r:id="rId107" display="https://www.ios-resolution.com/ipod-touch-3rd-gen/" xr:uid="{5EE82796-487E-404F-B877-E5C3EBD40053}"/>
    <hyperlink ref="B109" r:id="rId108" display="https://www.ios-resolution.com/iphone-3gs/" xr:uid="{E65FD52D-D97E-47FE-8D65-D0C59DA42C27}"/>
    <hyperlink ref="B110" r:id="rId109" display="https://www.ios-resolution.com/ipod-touch-2nd-gen/" xr:uid="{DD260AB3-F624-4507-9318-2C63F2E311B3}"/>
    <hyperlink ref="B111" r:id="rId110" display="https://www.ios-resolution.com/iphone-3g/" xr:uid="{3EC2BA6D-0798-4DFA-BE5C-DF9AB1D0BE46}"/>
    <hyperlink ref="B112" r:id="rId111" display="https://www.ios-resolution.com/ipod-touch-1st-gen/" xr:uid="{7540B86F-DE62-416B-BB5F-EB25384C6A73}"/>
    <hyperlink ref="B113" r:id="rId112" display="https://www.ios-resolution.com/iphone-1st-gen/" xr:uid="{DA7D334F-AEE5-40BF-A921-2A69F678D8EF}"/>
  </hyperlinks>
  <pageMargins left="0.7" right="0.7" top="0.75" bottom="0.75" header="0.3" footer="0.3"/>
  <pageSetup paperSize="9" orientation="portrait" r:id="rId1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3479-EEDD-4371-BA8F-B218139BAAC5}">
  <dimension ref="B2:M382"/>
  <sheetViews>
    <sheetView tabSelected="1" zoomScale="55" zoomScaleNormal="55" workbookViewId="0">
      <selection activeCell="F14" sqref="F14"/>
    </sheetView>
  </sheetViews>
  <sheetFormatPr defaultRowHeight="15" x14ac:dyDescent="0.25"/>
  <cols>
    <col min="6" max="6" width="96.28515625" bestFit="1" customWidth="1"/>
    <col min="9" max="9" width="66" customWidth="1"/>
    <col min="10" max="10" width="9.140625" style="12"/>
    <col min="11" max="11" width="24.42578125" customWidth="1"/>
  </cols>
  <sheetData>
    <row r="2" spans="2:13" x14ac:dyDescent="0.25">
      <c r="B2" t="s">
        <v>655</v>
      </c>
      <c r="I2" t="s">
        <v>431</v>
      </c>
      <c r="J2" s="11" t="s">
        <v>624</v>
      </c>
      <c r="K2" t="s">
        <v>432</v>
      </c>
      <c r="L2" t="str">
        <f>TRIM(J2)</f>
        <v>367</v>
      </c>
      <c r="M2" t="str">
        <f>CONCATENATE("    else if(navigator.userAgent.indexOf(""",K2,""")!==-1){ dpi =", J2,";} //",I2,"")</f>
        <v>    else if(navigator.userAgent.indexOf("	SM-F958N")!==-1){ dpi =367;} //Samsung Galaxy Z Fold Special</v>
      </c>
    </row>
    <row r="3" spans="2:13" x14ac:dyDescent="0.25">
      <c r="B3" t="s">
        <v>656</v>
      </c>
      <c r="I3" t="s">
        <v>433</v>
      </c>
      <c r="J3" s="12" t="s">
        <v>625</v>
      </c>
      <c r="K3" s="10" t="s">
        <v>577</v>
      </c>
      <c r="L3" t="str">
        <f t="shared" ref="J3:L66" si="0">TRIM(J3)</f>
        <v>385</v>
      </c>
      <c r="M3" t="str">
        <f t="shared" ref="M3:M66" si="1">CONCATENATE("    else if(navigator.userAgent.indexOf(""",K3,""")!==-1){ dpi =", J3,";} //",I3,"")</f>
        <v>    else if(navigator.userAgent.indexOf("SM-A165")!==-1){ dpi =385;} //Samsung Galaxy A16</v>
      </c>
    </row>
    <row r="4" spans="2:13" x14ac:dyDescent="0.25">
      <c r="B4" t="s">
        <v>657</v>
      </c>
      <c r="I4" t="s">
        <v>434</v>
      </c>
      <c r="J4" s="12" t="s">
        <v>625</v>
      </c>
      <c r="K4" t="s">
        <v>578</v>
      </c>
      <c r="L4" t="str">
        <f t="shared" si="0"/>
        <v>385</v>
      </c>
      <c r="M4" t="str">
        <f t="shared" si="1"/>
        <v>    else if(navigator.userAgent.indexOf("SM-A166")!==-1){ dpi =385;} //Samsung Galaxy A16 5G</v>
      </c>
    </row>
    <row r="5" spans="2:13" x14ac:dyDescent="0.25">
      <c r="B5" t="s">
        <v>658</v>
      </c>
      <c r="I5" t="s">
        <v>435</v>
      </c>
      <c r="J5" s="11" t="s">
        <v>436</v>
      </c>
      <c r="K5" t="s">
        <v>579</v>
      </c>
      <c r="L5" t="str">
        <f t="shared" si="0"/>
        <v>385 </v>
      </c>
      <c r="M5" t="str">
        <f t="shared" si="1"/>
        <v>    else if(navigator.userAgent.indexOf("SM-S721")!==-1){ dpi =385 ;} //Samsung Galaxy S24 FE</v>
      </c>
    </row>
    <row r="6" spans="2:13" x14ac:dyDescent="0.25">
      <c r="B6" t="s">
        <v>659</v>
      </c>
      <c r="I6" t="s">
        <v>437</v>
      </c>
      <c r="J6" s="12" t="s">
        <v>626</v>
      </c>
      <c r="K6" t="s">
        <v>580</v>
      </c>
      <c r="L6" t="str">
        <f t="shared" si="0"/>
        <v>239</v>
      </c>
      <c r="M6" t="str">
        <f t="shared" si="1"/>
        <v>    else if(navigator.userAgent.indexOf("SM-X92")!==-1){ dpi =239;} //Samsung Galaxy Tab S10 Ultra</v>
      </c>
    </row>
    <row r="7" spans="2:13" x14ac:dyDescent="0.25">
      <c r="B7" t="s">
        <v>660</v>
      </c>
      <c r="I7" t="s">
        <v>438</v>
      </c>
      <c r="J7" s="12" t="s">
        <v>627</v>
      </c>
      <c r="K7" t="s">
        <v>581</v>
      </c>
      <c r="L7" t="str">
        <f t="shared" si="0"/>
        <v>266</v>
      </c>
      <c r="M7" t="str">
        <f t="shared" si="1"/>
        <v>    else if(navigator.userAgent.indexOf("SM-X82")!==-1){ dpi =266;} //Samsung Galaxy Tab S10+</v>
      </c>
    </row>
    <row r="8" spans="2:13" x14ac:dyDescent="0.25">
      <c r="B8" t="s">
        <v>661</v>
      </c>
      <c r="I8" t="s">
        <v>439</v>
      </c>
      <c r="J8" s="12" t="s">
        <v>628</v>
      </c>
      <c r="K8" t="s">
        <v>440</v>
      </c>
      <c r="L8" t="str">
        <f t="shared" si="0"/>
        <v>393</v>
      </c>
      <c r="M8" t="str">
        <f t="shared" si="1"/>
        <v>    else if(navigator.userAgent.indexOf("SM-M558B")!==-1){ dpi =393;} //Samsung Galaxy M55s</v>
      </c>
    </row>
    <row r="9" spans="2:13" x14ac:dyDescent="0.25">
      <c r="B9" t="s">
        <v>662</v>
      </c>
      <c r="I9" t="s">
        <v>441</v>
      </c>
      <c r="J9" s="12" t="s">
        <v>629</v>
      </c>
      <c r="K9" t="s">
        <v>442</v>
      </c>
      <c r="L9" t="str">
        <f t="shared" si="0"/>
        <v>262</v>
      </c>
      <c r="M9" t="str">
        <f t="shared" si="1"/>
        <v>    else if(navigator.userAgent.indexOf("SM-E055F")!==-1){ dpi =262;} //Samsung Galaxy F05</v>
      </c>
    </row>
    <row r="10" spans="2:13" x14ac:dyDescent="0.25">
      <c r="B10" t="s">
        <v>663</v>
      </c>
      <c r="I10" t="s">
        <v>443</v>
      </c>
      <c r="J10" s="12" t="s">
        <v>629</v>
      </c>
      <c r="K10" t="s">
        <v>444</v>
      </c>
      <c r="L10" t="str">
        <f t="shared" si="0"/>
        <v>262</v>
      </c>
      <c r="M10" t="str">
        <f t="shared" si="1"/>
        <v>    else if(navigator.userAgent.indexOf("SM-M055F")!==-1){ dpi =262;} //Samsung Galaxy M05</v>
      </c>
    </row>
    <row r="11" spans="2:13" x14ac:dyDescent="0.25">
      <c r="B11" t="s">
        <v>664</v>
      </c>
      <c r="I11" t="s">
        <v>445</v>
      </c>
      <c r="J11" s="12" t="s">
        <v>629</v>
      </c>
      <c r="K11" t="s">
        <v>582</v>
      </c>
      <c r="L11" t="str">
        <f t="shared" si="0"/>
        <v>262</v>
      </c>
      <c r="M11" t="str">
        <f t="shared" si="1"/>
        <v>    else if(navigator.userAgent.indexOf("SM-A065")!==-1){ dpi =262;} //Samsung Galaxy A06</v>
      </c>
    </row>
    <row r="12" spans="2:13" x14ac:dyDescent="0.25">
      <c r="B12" t="s">
        <v>665</v>
      </c>
      <c r="I12" t="s">
        <v>446</v>
      </c>
      <c r="J12" s="12" t="s">
        <v>628</v>
      </c>
      <c r="K12" t="s">
        <v>447</v>
      </c>
      <c r="L12" t="str">
        <f t="shared" si="0"/>
        <v>393</v>
      </c>
      <c r="M12" t="str">
        <f t="shared" si="1"/>
        <v>    else if(navigator.userAgent.indexOf("SM-E145F")!==-1){ dpi =393;} //Samsung Galaxy F14 4G</v>
      </c>
    </row>
    <row r="13" spans="2:13" x14ac:dyDescent="0.25">
      <c r="B13" t="s">
        <v>666</v>
      </c>
      <c r="I13" t="s">
        <v>448</v>
      </c>
      <c r="J13" s="12" t="s">
        <v>630</v>
      </c>
      <c r="K13" t="s">
        <v>583</v>
      </c>
      <c r="L13" t="str">
        <f t="shared" si="0"/>
        <v>410</v>
      </c>
      <c r="M13" t="str">
        <f t="shared" si="1"/>
        <v>    else if(navigator.userAgent.indexOf("SM-F956")!==-1){ dpi =410;} //Samsung Galaxy Z Fold6</v>
      </c>
    </row>
    <row r="14" spans="2:13" x14ac:dyDescent="0.25">
      <c r="B14" t="s">
        <v>667</v>
      </c>
      <c r="I14" t="s">
        <v>449</v>
      </c>
      <c r="J14" s="12" t="s">
        <v>631</v>
      </c>
      <c r="K14" t="s">
        <v>584</v>
      </c>
      <c r="L14" t="str">
        <f t="shared" si="0"/>
        <v>306</v>
      </c>
      <c r="M14" t="str">
        <f t="shared" si="1"/>
        <v>    else if(navigator.userAgent.indexOf("SM-F741")!==-1){ dpi =306;} //Samsung Galaxy Z Flip6</v>
      </c>
    </row>
    <row r="15" spans="2:13" x14ac:dyDescent="0.25">
      <c r="B15" t="s">
        <v>668</v>
      </c>
      <c r="I15" t="s">
        <v>450</v>
      </c>
      <c r="J15" s="12" t="s">
        <v>632</v>
      </c>
      <c r="K15" t="s">
        <v>451</v>
      </c>
      <c r="L15" t="str">
        <f t="shared" si="0"/>
        <v>390</v>
      </c>
      <c r="M15" t="str">
        <f t="shared" si="1"/>
        <v>    else if(navigator.userAgent.indexOf("SM-M356B")!==-1){ dpi =390;} //Samsung Galaxy M35</v>
      </c>
    </row>
    <row r="16" spans="2:13" x14ac:dyDescent="0.25">
      <c r="B16" t="s">
        <v>669</v>
      </c>
      <c r="I16" t="s">
        <v>452</v>
      </c>
      <c r="J16" s="12" t="s">
        <v>628</v>
      </c>
      <c r="K16" t="s">
        <v>453</v>
      </c>
      <c r="L16" t="str">
        <f t="shared" si="0"/>
        <v>393</v>
      </c>
      <c r="M16" t="str">
        <f t="shared" si="1"/>
        <v>    else if(navigator.userAgent.indexOf("SM-E556B")!==-1){ dpi =393;} //Samsung Galaxy F55</v>
      </c>
    </row>
    <row r="17" spans="2:13" x14ac:dyDescent="0.25">
      <c r="B17" t="s">
        <v>670</v>
      </c>
      <c r="I17" t="s">
        <v>454</v>
      </c>
      <c r="J17" s="12" t="s">
        <v>628</v>
      </c>
      <c r="K17" t="s">
        <v>455</v>
      </c>
      <c r="L17" t="str">
        <f t="shared" si="0"/>
        <v>393</v>
      </c>
      <c r="M17" t="str">
        <f t="shared" si="1"/>
        <v>    else if(navigator.userAgent.indexOf("SM-C5560")!==-1){ dpi =393;} //Samsung Galaxy C55</v>
      </c>
    </row>
    <row r="18" spans="2:13" x14ac:dyDescent="0.25">
      <c r="B18" t="s">
        <v>671</v>
      </c>
      <c r="I18" t="s">
        <v>456</v>
      </c>
      <c r="J18" s="12" t="s">
        <v>628</v>
      </c>
      <c r="K18" t="s">
        <v>457</v>
      </c>
      <c r="L18" t="str">
        <f t="shared" si="0"/>
        <v>393</v>
      </c>
      <c r="M18" t="str">
        <f t="shared" si="1"/>
        <v>    else if(navigator.userAgent.indexOf("SM-M556B")!==-1){ dpi =393;} //Samsung Galaxy M55</v>
      </c>
    </row>
    <row r="19" spans="2:13" x14ac:dyDescent="0.25">
      <c r="B19" t="s">
        <v>672</v>
      </c>
      <c r="I19" t="s">
        <v>458</v>
      </c>
      <c r="J19" s="12" t="s">
        <v>633</v>
      </c>
      <c r="K19" t="s">
        <v>585</v>
      </c>
      <c r="L19" t="str">
        <f t="shared" si="0"/>
        <v>224</v>
      </c>
      <c r="M19" t="str">
        <f t="shared" si="1"/>
        <v>    else if(navigator.userAgent.indexOf("SM-P62")!==-1){ dpi =224;} //Samsung Galaxy Tab S6 Lite (2024)</v>
      </c>
    </row>
    <row r="20" spans="2:13" x14ac:dyDescent="0.25">
      <c r="B20" t="s">
        <v>673</v>
      </c>
      <c r="I20" t="s">
        <v>459</v>
      </c>
      <c r="J20" s="12" t="s">
        <v>632</v>
      </c>
      <c r="K20" t="s">
        <v>586</v>
      </c>
      <c r="L20" t="str">
        <f t="shared" si="0"/>
        <v>390</v>
      </c>
      <c r="M20" t="str">
        <f t="shared" si="1"/>
        <v>    else if(navigator.userAgent.indexOf("SM-A556")!==-1){ dpi =390;} //Samsung Galaxy A55</v>
      </c>
    </row>
    <row r="21" spans="2:13" x14ac:dyDescent="0.25">
      <c r="B21" t="s">
        <v>674</v>
      </c>
      <c r="I21" t="s">
        <v>460</v>
      </c>
      <c r="J21" s="12" t="s">
        <v>632</v>
      </c>
      <c r="K21" t="s">
        <v>587</v>
      </c>
      <c r="L21" t="str">
        <f t="shared" si="0"/>
        <v>390</v>
      </c>
      <c r="M21" t="str">
        <f t="shared" si="1"/>
        <v>    else if(navigator.userAgent.indexOf("SM-A356")!==-1){ dpi =390;} //Samsung Galaxy A35</v>
      </c>
    </row>
    <row r="22" spans="2:13" x14ac:dyDescent="0.25">
      <c r="B22" t="s">
        <v>675</v>
      </c>
      <c r="I22" t="s">
        <v>461</v>
      </c>
      <c r="J22" s="12" t="s">
        <v>634</v>
      </c>
      <c r="K22" t="s">
        <v>588</v>
      </c>
      <c r="L22" t="str">
        <f t="shared" si="0"/>
        <v>396</v>
      </c>
      <c r="M22" t="str">
        <f t="shared" si="1"/>
        <v>    else if(navigator.userAgent.indexOf("SM-M156")!==-1){ dpi =396;} //Samsung Galaxy M15</v>
      </c>
    </row>
    <row r="23" spans="2:13" x14ac:dyDescent="0.25">
      <c r="B23" t="s">
        <v>676</v>
      </c>
      <c r="I23" t="s">
        <v>462</v>
      </c>
      <c r="J23" s="12" t="s">
        <v>635</v>
      </c>
      <c r="K23" t="s">
        <v>463</v>
      </c>
      <c r="L23" t="str">
        <f t="shared" si="0"/>
        <v>394</v>
      </c>
      <c r="M23" t="str">
        <f t="shared" si="1"/>
        <v>    else if(navigator.userAgent.indexOf("SM-M145F")!==-1){ dpi =394;} //Samsung Galaxy M14 4G</v>
      </c>
    </row>
    <row r="24" spans="2:13" x14ac:dyDescent="0.25">
      <c r="B24" t="s">
        <v>677</v>
      </c>
      <c r="I24" t="s">
        <v>464</v>
      </c>
      <c r="J24" s="12" t="s">
        <v>632</v>
      </c>
      <c r="K24" t="s">
        <v>465</v>
      </c>
      <c r="L24" t="str">
        <f t="shared" si="0"/>
        <v>390</v>
      </c>
      <c r="M24" t="str">
        <f t="shared" si="1"/>
        <v>    else if(navigator.userAgent.indexOf("SM-E156B")!==-1){ dpi =390;} //Samsung Galaxy F15</v>
      </c>
    </row>
    <row r="25" spans="2:13" x14ac:dyDescent="0.25">
      <c r="B25" t="s">
        <v>678</v>
      </c>
      <c r="I25" t="s">
        <v>466</v>
      </c>
      <c r="J25" s="12" t="s">
        <v>636</v>
      </c>
      <c r="K25" t="s">
        <v>589</v>
      </c>
      <c r="L25" t="str">
        <f t="shared" si="0"/>
        <v>505</v>
      </c>
      <c r="M25" t="str">
        <f t="shared" si="1"/>
        <v>    else if(navigator.userAgent.indexOf("SM-S928")!==-1){ dpi =505;} //Samsung Galaxy S24 Ultra</v>
      </c>
    </row>
    <row r="26" spans="2:13" x14ac:dyDescent="0.25">
      <c r="B26" t="s">
        <v>679</v>
      </c>
      <c r="I26" t="s">
        <v>467</v>
      </c>
      <c r="J26" s="12" t="s">
        <v>637</v>
      </c>
      <c r="K26" t="s">
        <v>590</v>
      </c>
      <c r="L26" t="str">
        <f t="shared" si="0"/>
        <v>513</v>
      </c>
      <c r="M26" t="str">
        <f t="shared" si="1"/>
        <v>    else if(navigator.userAgent.indexOf("SM-S926")!==-1){ dpi =513;} //Samsung Galaxy S24+</v>
      </c>
    </row>
    <row r="27" spans="2:13" x14ac:dyDescent="0.25">
      <c r="B27" t="s">
        <v>680</v>
      </c>
      <c r="I27" t="s">
        <v>468</v>
      </c>
      <c r="J27" s="12" t="s">
        <v>638</v>
      </c>
      <c r="K27" t="s">
        <v>591</v>
      </c>
      <c r="L27" t="str">
        <f t="shared" si="0"/>
        <v>416</v>
      </c>
      <c r="M27" t="str">
        <f t="shared" si="1"/>
        <v>    else if(navigator.userAgent.indexOf("SM-S921")!==-1){ dpi =416;} //Samsung Galaxy S24</v>
      </c>
    </row>
    <row r="28" spans="2:13" x14ac:dyDescent="0.25">
      <c r="B28" t="s">
        <v>681</v>
      </c>
      <c r="I28" t="s">
        <v>469</v>
      </c>
      <c r="J28" s="12" t="s">
        <v>639</v>
      </c>
      <c r="K28" s="9" t="s">
        <v>592</v>
      </c>
      <c r="L28" t="str">
        <f t="shared" si="0"/>
        <v>400</v>
      </c>
      <c r="M28" t="str">
        <f t="shared" si="1"/>
        <v>    else if(navigator.userAgent.indexOf("SM-G556")!==-1){ dpi =400;} //Samsung Galaxy XCover7</v>
      </c>
    </row>
    <row r="29" spans="2:13" x14ac:dyDescent="0.25">
      <c r="B29" t="s">
        <v>682</v>
      </c>
      <c r="I29" t="s">
        <v>470</v>
      </c>
      <c r="J29" s="12" t="s">
        <v>640</v>
      </c>
      <c r="K29" t="s">
        <v>471</v>
      </c>
      <c r="L29" t="str">
        <f t="shared" si="0"/>
        <v>283</v>
      </c>
      <c r="M29" t="str">
        <f t="shared" si="1"/>
        <v>    else if(navigator.userAgent.indexOf("SM-X306B")!==-1){ dpi =283;} //Samsung Galaxy Tab Active5</v>
      </c>
    </row>
    <row r="30" spans="2:13" x14ac:dyDescent="0.25">
      <c r="B30" t="s">
        <v>683</v>
      </c>
      <c r="I30" t="s">
        <v>472</v>
      </c>
      <c r="J30" s="12" t="s">
        <v>634</v>
      </c>
      <c r="K30" t="s">
        <v>593</v>
      </c>
      <c r="L30" t="str">
        <f t="shared" si="0"/>
        <v>396</v>
      </c>
      <c r="M30" t="str">
        <f t="shared" si="1"/>
        <v>    else if(navigator.userAgent.indexOf("SM-A256")!==-1){ dpi =396;} //Samsung Galaxy A25</v>
      </c>
    </row>
    <row r="31" spans="2:13" x14ac:dyDescent="0.25">
      <c r="B31" t="s">
        <v>684</v>
      </c>
      <c r="I31" t="s">
        <v>473</v>
      </c>
      <c r="J31" s="12" t="s">
        <v>634</v>
      </c>
      <c r="K31" t="s">
        <v>594</v>
      </c>
      <c r="L31" t="str">
        <f t="shared" si="0"/>
        <v>396</v>
      </c>
      <c r="M31" t="str">
        <f t="shared" si="1"/>
        <v>    else if(navigator.userAgent.indexOf("SM-A156")!==-1){ dpi =396;} //Samsung Galaxy A15 5G</v>
      </c>
    </row>
    <row r="32" spans="2:13" x14ac:dyDescent="0.25">
      <c r="B32" t="s">
        <v>685</v>
      </c>
      <c r="I32" t="s">
        <v>474</v>
      </c>
      <c r="J32" s="12" t="s">
        <v>634</v>
      </c>
      <c r="K32" t="s">
        <v>595</v>
      </c>
      <c r="L32" t="str">
        <f t="shared" si="0"/>
        <v>396</v>
      </c>
      <c r="M32" t="str">
        <f t="shared" si="1"/>
        <v>    else if(navigator.userAgent.indexOf("SM-A155")!==-1){ dpi =396;} //Samsung Galaxy A15</v>
      </c>
    </row>
    <row r="33" spans="2:13" x14ac:dyDescent="0.25">
      <c r="B33" t="s">
        <v>686</v>
      </c>
      <c r="I33" t="s">
        <v>475</v>
      </c>
      <c r="J33" s="12" t="s">
        <v>641</v>
      </c>
      <c r="K33" t="s">
        <v>596</v>
      </c>
      <c r="L33" t="str">
        <f t="shared" si="0"/>
        <v>179</v>
      </c>
      <c r="M33" t="str">
        <f t="shared" si="1"/>
        <v>    else if(navigator.userAgent.indexOf("SM-X11")!==-1){ dpi =179;} //Samsung Galaxy Tab A9</v>
      </c>
    </row>
    <row r="34" spans="2:13" x14ac:dyDescent="0.25">
      <c r="B34" t="s">
        <v>687</v>
      </c>
      <c r="I34" t="s">
        <v>476</v>
      </c>
      <c r="J34" s="12" t="s">
        <v>642</v>
      </c>
      <c r="K34" t="s">
        <v>597</v>
      </c>
      <c r="L34" t="str">
        <f t="shared" si="0"/>
        <v>403</v>
      </c>
      <c r="M34" t="str">
        <f t="shared" si="1"/>
        <v>    else if(navigator.userAgent.indexOf("SM-S711")!==-1){ dpi =403;} //Samsung Galaxy S23 FE</v>
      </c>
    </row>
    <row r="35" spans="2:13" x14ac:dyDescent="0.25">
      <c r="B35" t="s">
        <v>688</v>
      </c>
      <c r="I35" t="s">
        <v>477</v>
      </c>
      <c r="J35" s="12" t="s">
        <v>643</v>
      </c>
      <c r="K35" t="s">
        <v>598</v>
      </c>
      <c r="L35" t="str">
        <f t="shared" si="0"/>
        <v>243</v>
      </c>
      <c r="M35" t="str">
        <f t="shared" si="1"/>
        <v>    else if(navigator.userAgent.indexOf("SM-X61")!==-1){ dpi =243;} //Samsung Galaxy Tab S9 FE</v>
      </c>
    </row>
    <row r="36" spans="2:13" x14ac:dyDescent="0.25">
      <c r="B36" t="s">
        <v>689</v>
      </c>
      <c r="I36" t="s">
        <v>477</v>
      </c>
      <c r="J36" s="12" t="s">
        <v>644</v>
      </c>
      <c r="K36" t="s">
        <v>599</v>
      </c>
      <c r="L36" t="str">
        <f t="shared" si="0"/>
        <v>249</v>
      </c>
      <c r="M36" t="str">
        <f t="shared" si="1"/>
        <v>    else if(navigator.userAgent.indexOf("SM-X51")!==-1){ dpi =249;} //Samsung Galaxy Tab S9 FE</v>
      </c>
    </row>
    <row r="37" spans="2:13" x14ac:dyDescent="0.25">
      <c r="B37" t="s">
        <v>690</v>
      </c>
      <c r="I37" t="s">
        <v>478</v>
      </c>
      <c r="J37" s="12" t="s">
        <v>628</v>
      </c>
      <c r="K37" t="s">
        <v>600</v>
      </c>
      <c r="L37" t="str">
        <f t="shared" si="0"/>
        <v>393</v>
      </c>
      <c r="M37" t="str">
        <f t="shared" si="1"/>
        <v>    else if(navigator.userAgent.indexOf("SM-A057")!==-1){ dpi =393;} //Samsung Galaxy A05s</v>
      </c>
    </row>
    <row r="38" spans="2:13" x14ac:dyDescent="0.25">
      <c r="B38" t="s">
        <v>691</v>
      </c>
      <c r="I38" t="s">
        <v>479</v>
      </c>
      <c r="J38" s="12" t="s">
        <v>629</v>
      </c>
      <c r="K38" t="s">
        <v>601</v>
      </c>
      <c r="L38" t="str">
        <f t="shared" si="0"/>
        <v>262</v>
      </c>
      <c r="M38" t="str">
        <f t="shared" si="1"/>
        <v>    else if(navigator.userAgent.indexOf("SM-A055")!==-1){ dpi =262;} //Samsung Galaxy A05</v>
      </c>
    </row>
    <row r="39" spans="2:13" x14ac:dyDescent="0.25">
      <c r="B39" t="s">
        <v>692</v>
      </c>
      <c r="I39" t="s">
        <v>480</v>
      </c>
      <c r="J39" s="12" t="s">
        <v>634</v>
      </c>
      <c r="K39" t="s">
        <v>602</v>
      </c>
      <c r="L39" t="str">
        <f t="shared" si="0"/>
        <v>396</v>
      </c>
      <c r="M39" t="str">
        <f t="shared" si="1"/>
        <v>    else if(navigator.userAgent.indexOf("SM-E346B")!==-1){ dpi =396;} //Samsung Galaxy F34</v>
      </c>
    </row>
    <row r="40" spans="2:13" x14ac:dyDescent="0.25">
      <c r="B40" t="s">
        <v>693</v>
      </c>
      <c r="I40" t="s">
        <v>481</v>
      </c>
      <c r="J40" s="12" t="s">
        <v>645</v>
      </c>
      <c r="K40" t="s">
        <v>603</v>
      </c>
      <c r="L40" t="str">
        <f t="shared" si="0"/>
        <v>373</v>
      </c>
      <c r="M40" t="str">
        <f t="shared" si="1"/>
        <v>    else if(navigator.userAgent.indexOf("SM-F946")!==-1){ dpi =373;} //Samsung Galaxy Z Fold5</v>
      </c>
    </row>
    <row r="41" spans="2:13" x14ac:dyDescent="0.25">
      <c r="B41" t="s">
        <v>694</v>
      </c>
      <c r="I41" t="s">
        <v>482</v>
      </c>
      <c r="J41" s="12" t="s">
        <v>626</v>
      </c>
      <c r="K41" t="s">
        <v>604</v>
      </c>
      <c r="L41" t="str">
        <f t="shared" si="0"/>
        <v>239</v>
      </c>
      <c r="M41" t="str">
        <f t="shared" si="1"/>
        <v>    else if(navigator.userAgent.indexOf("SM-X91")!==-1){ dpi =239;} //Samsung Galaxy Tab S9 Ultra</v>
      </c>
    </row>
    <row r="42" spans="2:13" x14ac:dyDescent="0.25">
      <c r="B42" t="s">
        <v>695</v>
      </c>
      <c r="I42" t="s">
        <v>483</v>
      </c>
      <c r="J42" s="12" t="s">
        <v>627</v>
      </c>
      <c r="K42" t="s">
        <v>605</v>
      </c>
      <c r="L42" t="str">
        <f t="shared" si="0"/>
        <v>266</v>
      </c>
      <c r="M42" t="str">
        <f t="shared" si="1"/>
        <v>    else if(navigator.userAgent.indexOf("SM-X81")!==-1){ dpi =266;} //Samsung Galaxy Tab S9+</v>
      </c>
    </row>
    <row r="43" spans="2:13" x14ac:dyDescent="0.25">
      <c r="B43" t="s">
        <v>696</v>
      </c>
      <c r="I43" t="s">
        <v>484</v>
      </c>
      <c r="J43" s="12" t="s">
        <v>646</v>
      </c>
      <c r="K43" t="s">
        <v>607</v>
      </c>
      <c r="L43" t="str">
        <f t="shared" si="0"/>
        <v>274</v>
      </c>
      <c r="M43" t="str">
        <f t="shared" si="1"/>
        <v>    else if(navigator.userAgent.indexOf("SM-X71")!==-1){ dpi =274;} //Samsung Galaxy Tab S9</v>
      </c>
    </row>
    <row r="44" spans="2:13" x14ac:dyDescent="0.25">
      <c r="B44" t="s">
        <v>697</v>
      </c>
      <c r="I44" t="s">
        <v>485</v>
      </c>
      <c r="J44" s="12" t="s">
        <v>634</v>
      </c>
      <c r="K44" t="s">
        <v>606</v>
      </c>
      <c r="L44" t="str">
        <f t="shared" si="0"/>
        <v>396</v>
      </c>
      <c r="M44" t="str">
        <f t="shared" si="1"/>
        <v>    else if(navigator.userAgent.indexOf("SM-M346")!==-1){ dpi =396;} //Samsung Galaxy M34 5G</v>
      </c>
    </row>
    <row r="45" spans="2:13" x14ac:dyDescent="0.25">
      <c r="B45" t="s">
        <v>698</v>
      </c>
      <c r="I45" t="s">
        <v>486</v>
      </c>
      <c r="J45" s="12" t="s">
        <v>628</v>
      </c>
      <c r="K45" t="s">
        <v>487</v>
      </c>
      <c r="L45" t="str">
        <f t="shared" si="0"/>
        <v>393</v>
      </c>
      <c r="M45" t="str">
        <f t="shared" si="1"/>
        <v>    else if(navigator.userAgent.indexOf("SM-E546B")!==-1){ dpi =393;} //Samsung Galaxy F54</v>
      </c>
    </row>
    <row r="46" spans="2:13" x14ac:dyDescent="0.25">
      <c r="B46" t="s">
        <v>699</v>
      </c>
      <c r="I46" t="s">
        <v>488</v>
      </c>
      <c r="J46" s="12" t="s">
        <v>634</v>
      </c>
      <c r="K46" t="s">
        <v>608</v>
      </c>
      <c r="L46" t="str">
        <f t="shared" si="0"/>
        <v>396</v>
      </c>
      <c r="M46" t="str">
        <f t="shared" si="1"/>
        <v>    else if(navigator.userAgent.indexOf("SM-A245")!==-1){ dpi =396;} //Samsung Galaxy A24 4G</v>
      </c>
    </row>
    <row r="47" spans="2:13" x14ac:dyDescent="0.25">
      <c r="B47" t="s">
        <v>700</v>
      </c>
      <c r="I47" t="s">
        <v>489</v>
      </c>
      <c r="J47" s="12" t="s">
        <v>639</v>
      </c>
      <c r="K47" t="s">
        <v>490</v>
      </c>
      <c r="L47" t="str">
        <f t="shared" si="0"/>
        <v>400</v>
      </c>
      <c r="M47" t="str">
        <f t="shared" si="1"/>
        <v>    else if(navigator.userAgent.indexOf("SM-E146B")!==-1){ dpi =400;} //Samsung Galaxy F14</v>
      </c>
    </row>
    <row r="48" spans="2:13" x14ac:dyDescent="0.25">
      <c r="B48" t="s">
        <v>701</v>
      </c>
      <c r="I48" t="s">
        <v>491</v>
      </c>
      <c r="J48" s="12" t="s">
        <v>628</v>
      </c>
      <c r="K48" t="s">
        <v>492</v>
      </c>
      <c r="L48" t="str">
        <f t="shared" si="0"/>
        <v>393</v>
      </c>
      <c r="M48" t="str">
        <f t="shared" si="1"/>
        <v>    else if(navigator.userAgent.indexOf("SM-M546B")!==-1){ dpi =393;} //Samsung Galaxy M54</v>
      </c>
    </row>
    <row r="49" spans="2:13" x14ac:dyDescent="0.25">
      <c r="B49" t="s">
        <v>702</v>
      </c>
      <c r="I49" t="s">
        <v>493</v>
      </c>
      <c r="J49" s="12" t="s">
        <v>642</v>
      </c>
      <c r="K49" t="s">
        <v>609</v>
      </c>
      <c r="L49" t="str">
        <f t="shared" si="0"/>
        <v>403</v>
      </c>
      <c r="M49" t="str">
        <f t="shared" si="1"/>
        <v>    else if(navigator.userAgent.indexOf("SM-A546")!==-1){ dpi =403;} //Samsung Galaxy A54</v>
      </c>
    </row>
    <row r="50" spans="2:13" x14ac:dyDescent="0.25">
      <c r="B50" t="s">
        <v>703</v>
      </c>
      <c r="I50" t="s">
        <v>494</v>
      </c>
      <c r="J50" s="12" t="s">
        <v>632</v>
      </c>
      <c r="K50" t="s">
        <v>610</v>
      </c>
      <c r="L50" t="str">
        <f t="shared" si="0"/>
        <v>390</v>
      </c>
      <c r="M50" t="str">
        <f t="shared" si="1"/>
        <v>    else if(navigator.userAgent.indexOf("SM-A346")!==-1){ dpi =390;} //Samsung Galaxy A34</v>
      </c>
    </row>
    <row r="51" spans="2:13" x14ac:dyDescent="0.25">
      <c r="B51" t="s">
        <v>704</v>
      </c>
      <c r="I51" t="s">
        <v>495</v>
      </c>
      <c r="J51" s="12" t="s">
        <v>639</v>
      </c>
      <c r="K51" t="s">
        <v>611</v>
      </c>
      <c r="L51" t="str">
        <f t="shared" si="0"/>
        <v>400</v>
      </c>
      <c r="M51" t="str">
        <f t="shared" si="1"/>
        <v>    else if(navigator.userAgent.indexOf("SM-M146")!==-1){ dpi =400;} //Samsung Galaxy M14</v>
      </c>
    </row>
    <row r="52" spans="2:13" x14ac:dyDescent="0.25">
      <c r="B52" t="s">
        <v>705</v>
      </c>
      <c r="I52" t="s">
        <v>496</v>
      </c>
      <c r="J52" s="9" t="s">
        <v>497</v>
      </c>
      <c r="K52" t="s">
        <v>612</v>
      </c>
      <c r="L52" t="str">
        <f t="shared" si="0"/>
        <v>500 </v>
      </c>
      <c r="M52" t="str">
        <f t="shared" si="1"/>
        <v>    else if(navigator.userAgent.indexOf("SM-S918")!==-1){ dpi =500 ;} //Samsung Galaxy S23 Ultra</v>
      </c>
    </row>
    <row r="53" spans="2:13" x14ac:dyDescent="0.25">
      <c r="B53" t="s">
        <v>706</v>
      </c>
      <c r="I53" t="s">
        <v>498</v>
      </c>
      <c r="J53" s="12" t="s">
        <v>628</v>
      </c>
      <c r="K53" t="s">
        <v>613</v>
      </c>
      <c r="L53" t="str">
        <f t="shared" si="0"/>
        <v>393</v>
      </c>
      <c r="M53" t="str">
        <f t="shared" si="1"/>
        <v>    else if(navigator.userAgent.indexOf("SM-S916")!==-1){ dpi =393;} //Samsung Galaxy S23+</v>
      </c>
    </row>
    <row r="54" spans="2:13" x14ac:dyDescent="0.25">
      <c r="B54" t="s">
        <v>707</v>
      </c>
      <c r="I54" t="s">
        <v>499</v>
      </c>
      <c r="J54" s="12" t="s">
        <v>647</v>
      </c>
      <c r="K54" t="s">
        <v>614</v>
      </c>
      <c r="L54" t="str">
        <f t="shared" si="0"/>
        <v>425</v>
      </c>
      <c r="M54" t="str">
        <f t="shared" si="1"/>
        <v>    else if(navigator.userAgent.indexOf("SM-S911")!==-1){ dpi =425;} //Samsung Galaxy S23</v>
      </c>
    </row>
    <row r="55" spans="2:13" x14ac:dyDescent="0.25">
      <c r="B55" t="s">
        <v>708</v>
      </c>
      <c r="I55" t="s">
        <v>500</v>
      </c>
      <c r="J55" s="12" t="s">
        <v>639</v>
      </c>
      <c r="K55" t="s">
        <v>615</v>
      </c>
      <c r="L55" t="str">
        <f t="shared" si="0"/>
        <v>400</v>
      </c>
      <c r="M55" t="str">
        <f t="shared" si="1"/>
        <v>    else if(navigator.userAgent.indexOf("SM-A145")!==-1){ dpi =400;} //Samsung Galaxy A14</v>
      </c>
    </row>
    <row r="56" spans="2:13" x14ac:dyDescent="0.25">
      <c r="B56" t="s">
        <v>709</v>
      </c>
      <c r="I56" t="s">
        <v>501</v>
      </c>
      <c r="J56" s="12" t="s">
        <v>639</v>
      </c>
      <c r="K56" t="s">
        <v>616</v>
      </c>
      <c r="L56" t="str">
        <f t="shared" si="0"/>
        <v>400</v>
      </c>
      <c r="M56" t="str">
        <f t="shared" si="1"/>
        <v>    else if(navigator.userAgent.indexOf("SM-A146")!==-1){ dpi =400;} //Samsung Galaxy A14 5G</v>
      </c>
    </row>
    <row r="57" spans="2:13" x14ac:dyDescent="0.25">
      <c r="B57" t="s">
        <v>710</v>
      </c>
      <c r="I57" t="s">
        <v>502</v>
      </c>
      <c r="J57" s="12" t="s">
        <v>648</v>
      </c>
      <c r="K57" t="s">
        <v>503</v>
      </c>
      <c r="L57" t="str">
        <f t="shared" si="0"/>
        <v>270</v>
      </c>
      <c r="M57" t="str">
        <f t="shared" si="1"/>
        <v>    else if(navigator.userAgent.indexOf("SM-E045F")!==-1){ dpi =270;} //Samsung Galaxy F04</v>
      </c>
    </row>
    <row r="58" spans="2:13" x14ac:dyDescent="0.25">
      <c r="B58" t="s">
        <v>711</v>
      </c>
      <c r="I58" t="s">
        <v>504</v>
      </c>
      <c r="J58" s="12" t="s">
        <v>648</v>
      </c>
      <c r="K58" t="s">
        <v>505</v>
      </c>
      <c r="L58" t="str">
        <f t="shared" si="0"/>
        <v>270</v>
      </c>
      <c r="M58" t="str">
        <f t="shared" si="1"/>
        <v>    else if(navigator.userAgent.indexOf("SM-M045F")!==-1){ dpi =270;} //Samsung Galaxy M04</v>
      </c>
    </row>
    <row r="59" spans="2:13" x14ac:dyDescent="0.25">
      <c r="B59" t="s">
        <v>712</v>
      </c>
      <c r="I59" t="s">
        <v>506</v>
      </c>
      <c r="J59" s="12" t="s">
        <v>633</v>
      </c>
      <c r="K59" t="s">
        <v>507</v>
      </c>
      <c r="L59" t="str">
        <f t="shared" si="0"/>
        <v>224</v>
      </c>
      <c r="M59" t="str">
        <f t="shared" si="1"/>
        <v>    else if(navigator.userAgent.indexOf("SM-T509")!==-1){ dpi =224;} //Samsung Galaxy Tab A7 10.4</v>
      </c>
    </row>
    <row r="60" spans="2:13" x14ac:dyDescent="0.25">
      <c r="B60" t="s">
        <v>713</v>
      </c>
      <c r="I60" t="s">
        <v>508</v>
      </c>
      <c r="J60" s="12" t="s">
        <v>648</v>
      </c>
      <c r="K60" t="s">
        <v>617</v>
      </c>
      <c r="L60" t="str">
        <f t="shared" si="0"/>
        <v>270</v>
      </c>
      <c r="M60" t="str">
        <f t="shared" si="1"/>
        <v>    else if(navigator.userAgent.indexOf("SM-A042")!==-1){ dpi =270;} //Samsung Galaxy A04e</v>
      </c>
    </row>
    <row r="61" spans="2:13" x14ac:dyDescent="0.25">
      <c r="B61" t="s">
        <v>714</v>
      </c>
      <c r="I61" t="s">
        <v>509</v>
      </c>
      <c r="J61" s="12" t="s">
        <v>633</v>
      </c>
      <c r="K61" t="s">
        <v>618</v>
      </c>
      <c r="L61" t="str">
        <f t="shared" si="0"/>
        <v>224</v>
      </c>
      <c r="M61" t="str">
        <f t="shared" si="1"/>
        <v>    else if(navigator.userAgent.indexOf("SM-T636")!==-1){ dpi =224;} //Samsung Galaxy Tab Active4 Pro</v>
      </c>
    </row>
    <row r="62" spans="2:13" x14ac:dyDescent="0.25">
      <c r="B62" t="s">
        <v>715</v>
      </c>
      <c r="I62" t="s">
        <v>510</v>
      </c>
      <c r="J62" s="12" t="s">
        <v>648</v>
      </c>
      <c r="K62" t="s">
        <v>619</v>
      </c>
      <c r="L62" t="str">
        <f t="shared" si="0"/>
        <v>270</v>
      </c>
      <c r="M62" t="str">
        <f t="shared" si="1"/>
        <v>    else if(navigator.userAgent.indexOf("SM-A047")!==-1){ dpi =270;} //Samsung Galaxy A04s</v>
      </c>
    </row>
    <row r="63" spans="2:13" x14ac:dyDescent="0.25">
      <c r="B63" t="s">
        <v>716</v>
      </c>
      <c r="I63" t="s">
        <v>511</v>
      </c>
      <c r="J63" s="12" t="s">
        <v>648</v>
      </c>
      <c r="K63" t="s">
        <v>620</v>
      </c>
      <c r="L63" t="str">
        <f t="shared" si="0"/>
        <v>270</v>
      </c>
      <c r="M63" t="str">
        <f t="shared" si="1"/>
        <v>    else if(navigator.userAgent.indexOf("SM-A045")!==-1){ dpi =270;} //Samsung Galaxy A04</v>
      </c>
    </row>
    <row r="64" spans="2:13" x14ac:dyDescent="0.25">
      <c r="B64" t="s">
        <v>717</v>
      </c>
      <c r="I64" t="s">
        <v>512</v>
      </c>
      <c r="J64" s="12" t="s">
        <v>645</v>
      </c>
      <c r="K64" t="s">
        <v>621</v>
      </c>
      <c r="L64" t="str">
        <f t="shared" si="0"/>
        <v>373</v>
      </c>
      <c r="M64" t="str">
        <f t="shared" si="1"/>
        <v>    else if(navigator.userAgent.indexOf("SM-F936")!==-1){ dpi =373;} //Samsung Galaxy Z Fold4</v>
      </c>
    </row>
    <row r="65" spans="2:13" x14ac:dyDescent="0.25">
      <c r="B65" t="s">
        <v>718</v>
      </c>
      <c r="I65" t="s">
        <v>513</v>
      </c>
      <c r="J65" s="12" t="s">
        <v>649</v>
      </c>
      <c r="K65" t="s">
        <v>622</v>
      </c>
      <c r="L65" t="str">
        <f t="shared" si="0"/>
        <v>426</v>
      </c>
      <c r="M65" t="str">
        <f t="shared" si="1"/>
        <v>    else if(navigator.userAgent.indexOf("SM-F721")!==-1){ dpi =426;} //Samsung Galaxy Z Flip4</v>
      </c>
    </row>
    <row r="66" spans="2:13" x14ac:dyDescent="0.25">
      <c r="B66" t="s">
        <v>719</v>
      </c>
      <c r="I66" t="s">
        <v>514</v>
      </c>
      <c r="J66" s="12" t="s">
        <v>639</v>
      </c>
      <c r="K66" t="s">
        <v>515</v>
      </c>
      <c r="L66" t="str">
        <f t="shared" si="0"/>
        <v>400</v>
      </c>
      <c r="M66" t="str">
        <f t="shared" si="1"/>
        <v>    else if(navigator.userAgent.indexOf("SM-A236")!==-1){ dpi =400;} //Samsung Galaxy A23 5G</v>
      </c>
    </row>
    <row r="67" spans="2:13" x14ac:dyDescent="0.25">
      <c r="B67" t="s">
        <v>720</v>
      </c>
      <c r="I67" t="s">
        <v>516</v>
      </c>
      <c r="J67" s="12" t="s">
        <v>648</v>
      </c>
      <c r="K67" t="s">
        <v>517</v>
      </c>
      <c r="L67" t="str">
        <f t="shared" ref="J67:L97" si="2">TRIM(J67)</f>
        <v>270</v>
      </c>
      <c r="M67" t="str">
        <f t="shared" ref="M67:M97" si="3">CONCATENATE("    else if(navigator.userAgent.indexOf(""",K67,""")!==-1){ dpi =", J67,";} //",I67,"")</f>
        <v>    else if(navigator.userAgent.indexOf("SM-M136")!==-1){ dpi =270;} //Samsung Galaxy M13 5G</v>
      </c>
    </row>
    <row r="68" spans="2:13" x14ac:dyDescent="0.25">
      <c r="B68" t="s">
        <v>721</v>
      </c>
      <c r="I68" t="s">
        <v>518</v>
      </c>
      <c r="J68" s="12" t="s">
        <v>639</v>
      </c>
      <c r="K68" t="s">
        <v>519</v>
      </c>
      <c r="L68" t="str">
        <f t="shared" si="2"/>
        <v>400</v>
      </c>
      <c r="M68" t="str">
        <f t="shared" si="3"/>
        <v>    else if(navigator.userAgent.indexOf("SM-A137F")!==-1){ dpi =400;} //Samsung Galaxy A13</v>
      </c>
    </row>
    <row r="69" spans="2:13" x14ac:dyDescent="0.25">
      <c r="B69" t="s">
        <v>722</v>
      </c>
      <c r="I69" t="s">
        <v>520</v>
      </c>
      <c r="J69" s="12" t="s">
        <v>639</v>
      </c>
      <c r="K69" t="s">
        <v>521</v>
      </c>
      <c r="L69" t="str">
        <f t="shared" si="2"/>
        <v>400</v>
      </c>
      <c r="M69" t="str">
        <f t="shared" si="3"/>
        <v>    else if(navigator.userAgent.indexOf("SM-G736")!==-1){ dpi =400;} //Samsung Galaxy XCover6 Pro</v>
      </c>
    </row>
    <row r="70" spans="2:13" x14ac:dyDescent="0.25">
      <c r="B70" t="s">
        <v>723</v>
      </c>
      <c r="I70" t="s">
        <v>522</v>
      </c>
      <c r="J70" s="12" t="s">
        <v>639</v>
      </c>
      <c r="K70" t="s">
        <v>523</v>
      </c>
      <c r="L70" t="str">
        <f t="shared" si="2"/>
        <v>400</v>
      </c>
      <c r="M70" t="str">
        <f t="shared" si="3"/>
        <v>    else if(navigator.userAgent.indexOf("SM-E135F")!==-1){ dpi =400;} //Samsung Galaxy F13</v>
      </c>
    </row>
    <row r="71" spans="2:13" x14ac:dyDescent="0.25">
      <c r="B71" t="s">
        <v>724</v>
      </c>
      <c r="I71" t="s">
        <v>524</v>
      </c>
      <c r="J71" s="12" t="s">
        <v>639</v>
      </c>
      <c r="K71" t="s">
        <v>525</v>
      </c>
      <c r="L71" t="str">
        <f t="shared" si="2"/>
        <v>400</v>
      </c>
      <c r="M71" t="str">
        <f t="shared" si="3"/>
        <v>    else if(navigator.userAgent.indexOf("SM-M135F")!==-1){ dpi =400;} //Samsung Galaxy M13</v>
      </c>
    </row>
    <row r="72" spans="2:13" x14ac:dyDescent="0.25">
      <c r="B72" t="s">
        <v>725</v>
      </c>
      <c r="I72" t="s">
        <v>526</v>
      </c>
      <c r="J72" s="12" t="s">
        <v>633</v>
      </c>
      <c r="K72" t="s">
        <v>623</v>
      </c>
      <c r="L72" t="str">
        <f t="shared" si="2"/>
        <v>224</v>
      </c>
      <c r="M72" t="str">
        <f t="shared" si="3"/>
        <v>    else if(navigator.userAgent.indexOf("SM-P61")!==-1){ dpi =224;} //Samsung Galaxy Tab S6 Lite</v>
      </c>
    </row>
    <row r="73" spans="2:13" x14ac:dyDescent="0.25">
      <c r="B73" t="s">
        <v>726</v>
      </c>
      <c r="I73" t="s">
        <v>527</v>
      </c>
      <c r="J73" s="12" t="s">
        <v>635</v>
      </c>
      <c r="K73" t="s">
        <v>528</v>
      </c>
      <c r="L73" t="str">
        <f t="shared" si="2"/>
        <v>394</v>
      </c>
      <c r="M73" t="str">
        <f t="shared" si="3"/>
        <v>    else if(navigator.userAgent.indexOf("SM-M536B")!==-1){ dpi =394;} //Samsung Galaxy M53</v>
      </c>
    </row>
    <row r="74" spans="2:13" x14ac:dyDescent="0.25">
      <c r="B74" t="s">
        <v>727</v>
      </c>
      <c r="I74" t="s">
        <v>529</v>
      </c>
      <c r="J74" s="12" t="s">
        <v>650</v>
      </c>
      <c r="K74" t="s">
        <v>530</v>
      </c>
      <c r="L74" t="str">
        <f t="shared" si="2"/>
        <v>405</v>
      </c>
      <c r="M74" t="str">
        <f t="shared" si="3"/>
        <v>    else if(navigator.userAgent.indexOf("SM-G781NK")!==-1){ dpi =405;} //Samsung Galaxy S20 FE 2022</v>
      </c>
    </row>
    <row r="75" spans="2:13" x14ac:dyDescent="0.25">
      <c r="B75" t="s">
        <v>728</v>
      </c>
      <c r="I75" t="s">
        <v>531</v>
      </c>
      <c r="J75" s="12" t="s">
        <v>628</v>
      </c>
      <c r="K75" t="s">
        <v>532</v>
      </c>
      <c r="L75" t="str">
        <f t="shared" si="2"/>
        <v>393</v>
      </c>
      <c r="M75" t="str">
        <f t="shared" si="3"/>
        <v>    else if(navigator.userAgent.indexOf("SM-A736B")!==-1){ dpi =393;} //Samsung Galaxy A73 5G</v>
      </c>
    </row>
    <row r="76" spans="2:13" x14ac:dyDescent="0.25">
      <c r="B76" t="s">
        <v>729</v>
      </c>
      <c r="I76" t="s">
        <v>533</v>
      </c>
      <c r="J76" s="12" t="s">
        <v>650</v>
      </c>
      <c r="K76" t="s">
        <v>534</v>
      </c>
      <c r="L76" t="str">
        <f t="shared" si="2"/>
        <v>405</v>
      </c>
      <c r="M76" t="str">
        <f t="shared" si="3"/>
        <v>    else if(navigator.userAgent.indexOf("SM-A536")!==-1){ dpi =405;} //Samsung Galaxy A53 5G</v>
      </c>
    </row>
    <row r="77" spans="2:13" x14ac:dyDescent="0.25">
      <c r="B77" t="s">
        <v>730</v>
      </c>
      <c r="I77" t="s">
        <v>535</v>
      </c>
      <c r="J77" s="12" t="s">
        <v>651</v>
      </c>
      <c r="K77" t="s">
        <v>536</v>
      </c>
      <c r="L77" t="str">
        <f t="shared" si="2"/>
        <v>411</v>
      </c>
      <c r="M77" t="str">
        <f t="shared" si="3"/>
        <v>    else if(navigator.userAgent.indexOf("SM-A336")!==-1){ dpi =411;} //Samsung Galaxy A33 5G</v>
      </c>
    </row>
    <row r="78" spans="2:13" x14ac:dyDescent="0.25">
      <c r="B78" t="s">
        <v>731</v>
      </c>
      <c r="I78" t="s">
        <v>537</v>
      </c>
      <c r="J78" s="12" t="s">
        <v>639</v>
      </c>
      <c r="K78" t="s">
        <v>538</v>
      </c>
      <c r="L78" t="str">
        <f t="shared" si="2"/>
        <v>400</v>
      </c>
      <c r="M78" t="str">
        <f t="shared" si="3"/>
        <v>    else if(navigator.userAgent.indexOf("SM-E236")!==-1){ dpi =400;} //Samsung Galaxy F23</v>
      </c>
    </row>
    <row r="79" spans="2:13" x14ac:dyDescent="0.25">
      <c r="B79" t="s">
        <v>732</v>
      </c>
      <c r="I79" t="s">
        <v>539</v>
      </c>
      <c r="J79" s="12" t="s">
        <v>639</v>
      </c>
      <c r="K79" t="s">
        <v>540</v>
      </c>
      <c r="L79" t="str">
        <f t="shared" si="2"/>
        <v>400</v>
      </c>
      <c r="M79" t="str">
        <f t="shared" si="3"/>
        <v>    else if(navigator.userAgent.indexOf("SM-M336")!==-1){ dpi =400;} //Samsung Galaxy M33</v>
      </c>
    </row>
    <row r="80" spans="2:13" x14ac:dyDescent="0.25">
      <c r="B80" t="s">
        <v>733</v>
      </c>
      <c r="I80" t="s">
        <v>541</v>
      </c>
      <c r="J80" s="12" t="s">
        <v>639</v>
      </c>
      <c r="K80" t="s">
        <v>542</v>
      </c>
      <c r="L80" t="str">
        <f t="shared" si="2"/>
        <v>400</v>
      </c>
      <c r="M80" t="str">
        <f t="shared" si="3"/>
        <v>    else if(navigator.userAgent.indexOf("SM-M236")!==-1){ dpi =400;} //Samsung Galaxy M23</v>
      </c>
    </row>
    <row r="81" spans="2:13" x14ac:dyDescent="0.25">
      <c r="B81" t="s">
        <v>734</v>
      </c>
      <c r="I81" t="s">
        <v>543</v>
      </c>
      <c r="J81" s="12" t="s">
        <v>639</v>
      </c>
      <c r="K81" t="s">
        <v>544</v>
      </c>
      <c r="L81" t="str">
        <f t="shared" si="2"/>
        <v>400</v>
      </c>
      <c r="M81" t="str">
        <f t="shared" si="3"/>
        <v>    else if(navigator.userAgent.indexOf("SM-A235")!==-1){ dpi =400;} //Samsung Galaxy A23</v>
      </c>
    </row>
    <row r="82" spans="2:13" x14ac:dyDescent="0.25">
      <c r="B82" t="s">
        <v>735</v>
      </c>
      <c r="I82" t="s">
        <v>518</v>
      </c>
      <c r="J82" s="12" t="s">
        <v>639</v>
      </c>
      <c r="K82" t="s">
        <v>545</v>
      </c>
      <c r="L82" t="str">
        <f t="shared" si="2"/>
        <v>400</v>
      </c>
      <c r="M82" t="str">
        <f t="shared" si="3"/>
        <v>    else if(navigator.userAgent.indexOf("SM-A135")!==-1){ dpi =400;} //Samsung Galaxy A13</v>
      </c>
    </row>
    <row r="83" spans="2:13" x14ac:dyDescent="0.25">
      <c r="B83" t="s">
        <v>736</v>
      </c>
      <c r="I83" t="s">
        <v>546</v>
      </c>
      <c r="J83" s="12" t="s">
        <v>652</v>
      </c>
      <c r="K83" t="s">
        <v>547</v>
      </c>
      <c r="L83" t="str">
        <f t="shared" si="2"/>
        <v>500</v>
      </c>
      <c r="M83" t="str">
        <f t="shared" si="3"/>
        <v>    else if(navigator.userAgent.indexOf("SM-S908")!==-1){ dpi =500;} //Samsung Galaxy S22 Ultra 5G</v>
      </c>
    </row>
    <row r="84" spans="2:13" x14ac:dyDescent="0.25">
      <c r="B84" t="s">
        <v>737</v>
      </c>
      <c r="I84" t="s">
        <v>548</v>
      </c>
      <c r="J84" s="12" t="s">
        <v>628</v>
      </c>
      <c r="K84" t="s">
        <v>549</v>
      </c>
      <c r="L84" t="str">
        <f t="shared" si="2"/>
        <v>393</v>
      </c>
      <c r="M84" t="str">
        <f t="shared" si="3"/>
        <v>    else if(navigator.userAgent.indexOf("SM-S906")!==-1){ dpi =393;} //Samsung Galaxy S22+ 5G</v>
      </c>
    </row>
    <row r="85" spans="2:13" x14ac:dyDescent="0.25">
      <c r="B85" t="s">
        <v>738</v>
      </c>
      <c r="I85" t="s">
        <v>550</v>
      </c>
      <c r="J85" s="9" t="s">
        <v>551</v>
      </c>
      <c r="K85" t="s">
        <v>552</v>
      </c>
      <c r="L85" t="str">
        <f t="shared" si="2"/>
        <v>425 </v>
      </c>
      <c r="M85" t="str">
        <f t="shared" si="3"/>
        <v>    else if(navigator.userAgent.indexOf("SM-S901")!==-1){ dpi =425 ;} //Samsung Galaxy S22 5G</v>
      </c>
    </row>
    <row r="86" spans="2:13" x14ac:dyDescent="0.25">
      <c r="B86" t="s">
        <v>739</v>
      </c>
      <c r="I86" t="s">
        <v>553</v>
      </c>
      <c r="J86" s="12" t="s">
        <v>653</v>
      </c>
      <c r="K86" t="s">
        <v>554</v>
      </c>
      <c r="L86" t="str">
        <f t="shared" si="2"/>
        <v>240</v>
      </c>
      <c r="M86" t="str">
        <f t="shared" si="3"/>
        <v>    else if(navigator.userAgent.indexOf("SM-X90")!==-1){ dpi =240;} //Samsung Galaxy Tab S8 Ultra</v>
      </c>
    </row>
    <row r="87" spans="2:13" x14ac:dyDescent="0.25">
      <c r="B87" t="s">
        <v>740</v>
      </c>
      <c r="I87" t="s">
        <v>555</v>
      </c>
      <c r="J87" s="12" t="s">
        <v>627</v>
      </c>
      <c r="K87" t="s">
        <v>556</v>
      </c>
      <c r="L87" t="str">
        <f t="shared" si="2"/>
        <v>266</v>
      </c>
      <c r="M87" t="str">
        <f t="shared" si="3"/>
        <v>    else if(navigator.userAgent.indexOf("SM-X80")!==-1){ dpi =266;} //Samsung Galaxy Tab S8+</v>
      </c>
    </row>
    <row r="88" spans="2:13" x14ac:dyDescent="0.25">
      <c r="B88" t="s">
        <v>741</v>
      </c>
      <c r="I88" t="s">
        <v>557</v>
      </c>
      <c r="J88" s="12" t="s">
        <v>646</v>
      </c>
      <c r="K88" t="s">
        <v>558</v>
      </c>
      <c r="L88" t="str">
        <f t="shared" si="2"/>
        <v>274</v>
      </c>
      <c r="M88" t="str">
        <f t="shared" si="3"/>
        <v>    else if(navigator.userAgent.indexOf("SM-X70")!==-1){ dpi =274;} //Samsung Galaxy Tab S8</v>
      </c>
    </row>
    <row r="89" spans="2:13" x14ac:dyDescent="0.25">
      <c r="B89" t="s">
        <v>742</v>
      </c>
      <c r="I89" t="s">
        <v>559</v>
      </c>
      <c r="J89" s="12" t="s">
        <v>642</v>
      </c>
      <c r="K89" t="s">
        <v>560</v>
      </c>
      <c r="L89" t="str">
        <f t="shared" si="2"/>
        <v>403</v>
      </c>
      <c r="M89" t="str">
        <f t="shared" si="3"/>
        <v>    else if(navigator.userAgent.indexOf("SM-G990")!==-1){ dpi =403;} //Samsung Galaxy S21 FE 5G</v>
      </c>
    </row>
    <row r="90" spans="2:13" x14ac:dyDescent="0.25">
      <c r="B90" t="s">
        <v>743</v>
      </c>
      <c r="I90" t="s">
        <v>561</v>
      </c>
      <c r="J90" s="12" t="s">
        <v>654</v>
      </c>
      <c r="K90" t="s">
        <v>562</v>
      </c>
      <c r="L90" t="str">
        <f t="shared" si="2"/>
        <v>216</v>
      </c>
      <c r="M90" t="str">
        <f t="shared" si="3"/>
        <v>    else if(navigator.userAgent.indexOf("SM-X20")!==-1){ dpi =216;} //Samsung Galaxy Tab A8 10.5</v>
      </c>
    </row>
    <row r="91" spans="2:13" x14ac:dyDescent="0.25">
      <c r="B91" t="s">
        <v>744</v>
      </c>
      <c r="I91" t="s">
        <v>563</v>
      </c>
      <c r="J91" s="12" t="s">
        <v>648</v>
      </c>
      <c r="K91" t="s">
        <v>564</v>
      </c>
      <c r="L91" t="str">
        <f t="shared" si="2"/>
        <v>270</v>
      </c>
      <c r="M91" t="str">
        <f t="shared" si="3"/>
        <v>    else if(navigator.userAgent.indexOf("SM-A136")!==-1){ dpi =270;} //Samsung Galaxy A13 5G</v>
      </c>
    </row>
    <row r="92" spans="2:13" x14ac:dyDescent="0.25">
      <c r="B92" t="s">
        <v>745</v>
      </c>
      <c r="I92" t="s">
        <v>565</v>
      </c>
      <c r="J92" s="12" t="s">
        <v>648</v>
      </c>
      <c r="K92" t="s">
        <v>566</v>
      </c>
      <c r="L92" t="str">
        <f t="shared" si="2"/>
        <v>270</v>
      </c>
      <c r="M92" t="str">
        <f t="shared" si="3"/>
        <v>    else if(navigator.userAgent.indexOf("SM-A035")!==-1){ dpi =270;} //Samsung Galaxy A03</v>
      </c>
    </row>
    <row r="93" spans="2:13" x14ac:dyDescent="0.25">
      <c r="B93" t="s">
        <v>746</v>
      </c>
      <c r="I93" t="s">
        <v>567</v>
      </c>
      <c r="J93" s="12" t="s">
        <v>648</v>
      </c>
      <c r="K93" t="s">
        <v>568</v>
      </c>
      <c r="L93" t="str">
        <f t="shared" si="2"/>
        <v>270</v>
      </c>
      <c r="M93" t="str">
        <f t="shared" si="3"/>
        <v>    else if(navigator.userAgent.indexOf("SM-A032")!==-1){ dpi =270;} //Samsung Galaxy A03 Core</v>
      </c>
    </row>
    <row r="94" spans="2:13" x14ac:dyDescent="0.25">
      <c r="B94" t="s">
        <v>747</v>
      </c>
      <c r="I94" t="s">
        <v>569</v>
      </c>
      <c r="J94" s="12" t="s">
        <v>639</v>
      </c>
      <c r="K94" t="s">
        <v>570</v>
      </c>
      <c r="L94" t="str">
        <f t="shared" si="2"/>
        <v>400</v>
      </c>
      <c r="M94" t="str">
        <f t="shared" si="3"/>
        <v>    else if(navigator.userAgent.indexOf("SM-E426B")!==-1){ dpi =400;} //Samsung Galaxy F42 5G</v>
      </c>
    </row>
    <row r="95" spans="2:13" x14ac:dyDescent="0.25">
      <c r="B95" t="s">
        <v>748</v>
      </c>
      <c r="I95" t="s">
        <v>571</v>
      </c>
      <c r="J95" s="12" t="s">
        <v>628</v>
      </c>
      <c r="K95" t="s">
        <v>572</v>
      </c>
      <c r="L95" t="str">
        <f t="shared" si="2"/>
        <v>393</v>
      </c>
      <c r="M95" t="str">
        <f t="shared" si="3"/>
        <v>    else if(navigator.userAgent.indexOf("SM-M526B")!==-1){ dpi =393;} //Samsung Galaxy M52 5G</v>
      </c>
    </row>
    <row r="96" spans="2:13" x14ac:dyDescent="0.25">
      <c r="B96" t="s">
        <v>749</v>
      </c>
      <c r="I96" t="s">
        <v>573</v>
      </c>
      <c r="J96" s="12" t="s">
        <v>646</v>
      </c>
      <c r="K96" t="s">
        <v>574</v>
      </c>
      <c r="L96" t="str">
        <f t="shared" si="2"/>
        <v>274</v>
      </c>
      <c r="M96" t="str">
        <f t="shared" si="3"/>
        <v>    else if(navigator.userAgent.indexOf("SM-M225FV")!==-1){ dpi =274;} //Samsung Galaxy M22</v>
      </c>
    </row>
    <row r="97" spans="2:13" x14ac:dyDescent="0.25">
      <c r="B97" t="s">
        <v>750</v>
      </c>
      <c r="I97" t="s">
        <v>575</v>
      </c>
      <c r="J97" s="12" t="s">
        <v>648</v>
      </c>
      <c r="K97" t="s">
        <v>576</v>
      </c>
      <c r="L97" t="str">
        <f t="shared" si="2"/>
        <v>270</v>
      </c>
      <c r="M97" t="str">
        <f t="shared" si="3"/>
        <v>    else if(navigator.userAgent.indexOf("SM-M326B")!==-1){ dpi =270;} //Samsung Galaxy M32 5G</v>
      </c>
    </row>
    <row r="98" spans="2:13" x14ac:dyDescent="0.25">
      <c r="B98" s="7" t="s">
        <v>147</v>
      </c>
    </row>
    <row r="99" spans="2:13" x14ac:dyDescent="0.25">
      <c r="B99" s="7" t="s">
        <v>148</v>
      </c>
    </row>
    <row r="100" spans="2:13" x14ac:dyDescent="0.25">
      <c r="B100" s="7" t="s">
        <v>149</v>
      </c>
    </row>
    <row r="101" spans="2:13" x14ac:dyDescent="0.25">
      <c r="B101" s="7" t="s">
        <v>150</v>
      </c>
    </row>
    <row r="102" spans="2:13" x14ac:dyDescent="0.25">
      <c r="B102" s="7" t="s">
        <v>151</v>
      </c>
    </row>
    <row r="103" spans="2:13" x14ac:dyDescent="0.25">
      <c r="B103" s="7" t="s">
        <v>152</v>
      </c>
    </row>
    <row r="104" spans="2:13" x14ac:dyDescent="0.25">
      <c r="B104" s="7" t="s">
        <v>153</v>
      </c>
    </row>
    <row r="105" spans="2:13" x14ac:dyDescent="0.25">
      <c r="B105" s="7" t="s">
        <v>154</v>
      </c>
    </row>
    <row r="106" spans="2:13" x14ac:dyDescent="0.25">
      <c r="B106" s="7" t="s">
        <v>155</v>
      </c>
    </row>
    <row r="107" spans="2:13" x14ac:dyDescent="0.25">
      <c r="B107" s="7" t="s">
        <v>156</v>
      </c>
    </row>
    <row r="108" spans="2:13" x14ac:dyDescent="0.25">
      <c r="B108" s="7" t="s">
        <v>157</v>
      </c>
    </row>
    <row r="109" spans="2:13" x14ac:dyDescent="0.25">
      <c r="B109" s="7" t="s">
        <v>158</v>
      </c>
    </row>
    <row r="110" spans="2:13" x14ac:dyDescent="0.25">
      <c r="B110" s="7" t="s">
        <v>159</v>
      </c>
    </row>
    <row r="111" spans="2:13" x14ac:dyDescent="0.25">
      <c r="B111" s="7" t="s">
        <v>160</v>
      </c>
    </row>
    <row r="112" spans="2:13" x14ac:dyDescent="0.25">
      <c r="B112" s="7" t="s">
        <v>161</v>
      </c>
    </row>
    <row r="113" spans="2:2" x14ac:dyDescent="0.25">
      <c r="B113" s="7" t="s">
        <v>162</v>
      </c>
    </row>
    <row r="114" spans="2:2" x14ac:dyDescent="0.25">
      <c r="B114" s="7" t="s">
        <v>163</v>
      </c>
    </row>
    <row r="115" spans="2:2" x14ac:dyDescent="0.25">
      <c r="B115" s="7" t="s">
        <v>164</v>
      </c>
    </row>
    <row r="116" spans="2:2" x14ac:dyDescent="0.25">
      <c r="B116" s="7" t="s">
        <v>165</v>
      </c>
    </row>
    <row r="117" spans="2:2" x14ac:dyDescent="0.25">
      <c r="B117" s="7" t="s">
        <v>166</v>
      </c>
    </row>
    <row r="118" spans="2:2" x14ac:dyDescent="0.25">
      <c r="B118" s="7" t="s">
        <v>167</v>
      </c>
    </row>
    <row r="119" spans="2:2" x14ac:dyDescent="0.25">
      <c r="B119" s="7" t="s">
        <v>168</v>
      </c>
    </row>
    <row r="120" spans="2:2" x14ac:dyDescent="0.25">
      <c r="B120" s="7" t="s">
        <v>169</v>
      </c>
    </row>
    <row r="121" spans="2:2" x14ac:dyDescent="0.25">
      <c r="B121" s="7" t="s">
        <v>170</v>
      </c>
    </row>
    <row r="122" spans="2:2" x14ac:dyDescent="0.25">
      <c r="B122" s="7" t="s">
        <v>171</v>
      </c>
    </row>
    <row r="123" spans="2:2" x14ac:dyDescent="0.25">
      <c r="B123" s="7" t="s">
        <v>172</v>
      </c>
    </row>
    <row r="124" spans="2:2" x14ac:dyDescent="0.25">
      <c r="B124" s="7" t="s">
        <v>173</v>
      </c>
    </row>
    <row r="125" spans="2:2" x14ac:dyDescent="0.25">
      <c r="B125" s="7" t="s">
        <v>174</v>
      </c>
    </row>
    <row r="126" spans="2:2" x14ac:dyDescent="0.25">
      <c r="B126" s="7" t="s">
        <v>175</v>
      </c>
    </row>
    <row r="127" spans="2:2" x14ac:dyDescent="0.25">
      <c r="B127" s="7" t="s">
        <v>176</v>
      </c>
    </row>
    <row r="128" spans="2:2" x14ac:dyDescent="0.25">
      <c r="B128" s="7" t="s">
        <v>177</v>
      </c>
    </row>
    <row r="129" spans="2:2" x14ac:dyDescent="0.25">
      <c r="B129" s="7" t="s">
        <v>178</v>
      </c>
    </row>
    <row r="130" spans="2:2" x14ac:dyDescent="0.25">
      <c r="B130" s="7" t="s">
        <v>179</v>
      </c>
    </row>
    <row r="131" spans="2:2" x14ac:dyDescent="0.25">
      <c r="B131" s="7" t="s">
        <v>180</v>
      </c>
    </row>
    <row r="132" spans="2:2" x14ac:dyDescent="0.25">
      <c r="B132" s="7" t="s">
        <v>181</v>
      </c>
    </row>
    <row r="133" spans="2:2" x14ac:dyDescent="0.25">
      <c r="B133" s="7" t="s">
        <v>182</v>
      </c>
    </row>
    <row r="134" spans="2:2" x14ac:dyDescent="0.25">
      <c r="B134" s="7" t="s">
        <v>183</v>
      </c>
    </row>
    <row r="135" spans="2:2" x14ac:dyDescent="0.25">
      <c r="B135" s="7" t="s">
        <v>184</v>
      </c>
    </row>
    <row r="136" spans="2:2" x14ac:dyDescent="0.25">
      <c r="B136" s="7" t="s">
        <v>185</v>
      </c>
    </row>
    <row r="137" spans="2:2" x14ac:dyDescent="0.25">
      <c r="B137" s="7" t="s">
        <v>186</v>
      </c>
    </row>
    <row r="138" spans="2:2" x14ac:dyDescent="0.25">
      <c r="B138" s="7" t="s">
        <v>187</v>
      </c>
    </row>
    <row r="139" spans="2:2" x14ac:dyDescent="0.25">
      <c r="B139" s="7" t="s">
        <v>188</v>
      </c>
    </row>
    <row r="140" spans="2:2" x14ac:dyDescent="0.25">
      <c r="B140" s="7" t="s">
        <v>189</v>
      </c>
    </row>
    <row r="141" spans="2:2" x14ac:dyDescent="0.25">
      <c r="B141" s="7" t="s">
        <v>190</v>
      </c>
    </row>
    <row r="142" spans="2:2" x14ac:dyDescent="0.25">
      <c r="B142" s="7" t="s">
        <v>191</v>
      </c>
    </row>
    <row r="143" spans="2:2" x14ac:dyDescent="0.25">
      <c r="B143" s="7" t="s">
        <v>192</v>
      </c>
    </row>
    <row r="144" spans="2:2" x14ac:dyDescent="0.25">
      <c r="B144" s="7" t="s">
        <v>193</v>
      </c>
    </row>
    <row r="145" spans="2:2" x14ac:dyDescent="0.25">
      <c r="B145" s="7" t="s">
        <v>194</v>
      </c>
    </row>
    <row r="146" spans="2:2" x14ac:dyDescent="0.25">
      <c r="B146" s="7" t="s">
        <v>195</v>
      </c>
    </row>
    <row r="147" spans="2:2" x14ac:dyDescent="0.25">
      <c r="B147" s="7" t="s">
        <v>196</v>
      </c>
    </row>
    <row r="148" spans="2:2" x14ac:dyDescent="0.25">
      <c r="B148" s="7" t="s">
        <v>197</v>
      </c>
    </row>
    <row r="149" spans="2:2" x14ac:dyDescent="0.25">
      <c r="B149" s="7" t="s">
        <v>198</v>
      </c>
    </row>
    <row r="150" spans="2:2" x14ac:dyDescent="0.25">
      <c r="B150" s="7" t="s">
        <v>199</v>
      </c>
    </row>
    <row r="151" spans="2:2" x14ac:dyDescent="0.25">
      <c r="B151" s="7" t="s">
        <v>200</v>
      </c>
    </row>
    <row r="152" spans="2:2" x14ac:dyDescent="0.25">
      <c r="B152" s="7" t="s">
        <v>201</v>
      </c>
    </row>
    <row r="153" spans="2:2" x14ac:dyDescent="0.25">
      <c r="B153" s="7" t="s">
        <v>202</v>
      </c>
    </row>
    <row r="154" spans="2:2" x14ac:dyDescent="0.25">
      <c r="B154" s="7" t="s">
        <v>203</v>
      </c>
    </row>
    <row r="155" spans="2:2" x14ac:dyDescent="0.25">
      <c r="B155" s="7" t="s">
        <v>204</v>
      </c>
    </row>
    <row r="156" spans="2:2" x14ac:dyDescent="0.25">
      <c r="B156" s="7" t="s">
        <v>205</v>
      </c>
    </row>
    <row r="157" spans="2:2" x14ac:dyDescent="0.25">
      <c r="B157" s="7" t="s">
        <v>206</v>
      </c>
    </row>
    <row r="158" spans="2:2" x14ac:dyDescent="0.25">
      <c r="B158" s="7" t="s">
        <v>207</v>
      </c>
    </row>
    <row r="159" spans="2:2" x14ac:dyDescent="0.25">
      <c r="B159" s="7" t="s">
        <v>208</v>
      </c>
    </row>
    <row r="160" spans="2:2" x14ac:dyDescent="0.25">
      <c r="B160" s="7" t="s">
        <v>209</v>
      </c>
    </row>
    <row r="161" spans="2:2" x14ac:dyDescent="0.25">
      <c r="B161" s="7" t="s">
        <v>210</v>
      </c>
    </row>
    <row r="162" spans="2:2" x14ac:dyDescent="0.25">
      <c r="B162" s="7" t="s">
        <v>211</v>
      </c>
    </row>
    <row r="163" spans="2:2" x14ac:dyDescent="0.25">
      <c r="B163" s="7" t="s">
        <v>212</v>
      </c>
    </row>
    <row r="164" spans="2:2" x14ac:dyDescent="0.25">
      <c r="B164" s="7" t="s">
        <v>213</v>
      </c>
    </row>
    <row r="165" spans="2:2" x14ac:dyDescent="0.25">
      <c r="B165" s="7" t="s">
        <v>214</v>
      </c>
    </row>
    <row r="166" spans="2:2" x14ac:dyDescent="0.25">
      <c r="B166" s="7" t="s">
        <v>215</v>
      </c>
    </row>
    <row r="167" spans="2:2" x14ac:dyDescent="0.25">
      <c r="B167" s="7" t="s">
        <v>216</v>
      </c>
    </row>
    <row r="168" spans="2:2" x14ac:dyDescent="0.25">
      <c r="B168" s="7" t="s">
        <v>217</v>
      </c>
    </row>
    <row r="169" spans="2:2" x14ac:dyDescent="0.25">
      <c r="B169" s="7" t="s">
        <v>218</v>
      </c>
    </row>
    <row r="170" spans="2:2" x14ac:dyDescent="0.25">
      <c r="B170" s="7" t="s">
        <v>219</v>
      </c>
    </row>
    <row r="171" spans="2:2" x14ac:dyDescent="0.25">
      <c r="B171" s="7" t="s">
        <v>220</v>
      </c>
    </row>
    <row r="172" spans="2:2" x14ac:dyDescent="0.25">
      <c r="B172" s="7" t="s">
        <v>221</v>
      </c>
    </row>
    <row r="173" spans="2:2" x14ac:dyDescent="0.25">
      <c r="B173" s="7" t="s">
        <v>222</v>
      </c>
    </row>
    <row r="174" spans="2:2" x14ac:dyDescent="0.25">
      <c r="B174" s="7" t="s">
        <v>223</v>
      </c>
    </row>
    <row r="175" spans="2:2" x14ac:dyDescent="0.25">
      <c r="B175" s="7" t="s">
        <v>224</v>
      </c>
    </row>
    <row r="176" spans="2:2" x14ac:dyDescent="0.25">
      <c r="B176" s="7" t="s">
        <v>225</v>
      </c>
    </row>
    <row r="177" spans="2:2" x14ac:dyDescent="0.25">
      <c r="B177" s="7" t="s">
        <v>226</v>
      </c>
    </row>
    <row r="178" spans="2:2" x14ac:dyDescent="0.25">
      <c r="B178" s="7" t="s">
        <v>227</v>
      </c>
    </row>
    <row r="179" spans="2:2" x14ac:dyDescent="0.25">
      <c r="B179" s="7" t="s">
        <v>228</v>
      </c>
    </row>
    <row r="180" spans="2:2" x14ac:dyDescent="0.25">
      <c r="B180" s="7" t="s">
        <v>229</v>
      </c>
    </row>
    <row r="181" spans="2:2" x14ac:dyDescent="0.25">
      <c r="B181" s="7" t="s">
        <v>230</v>
      </c>
    </row>
    <row r="182" spans="2:2" x14ac:dyDescent="0.25">
      <c r="B182" s="7" t="s">
        <v>231</v>
      </c>
    </row>
    <row r="183" spans="2:2" x14ac:dyDescent="0.25">
      <c r="B183" s="7" t="s">
        <v>232</v>
      </c>
    </row>
    <row r="184" spans="2:2" x14ac:dyDescent="0.25">
      <c r="B184" s="7" t="s">
        <v>233</v>
      </c>
    </row>
    <row r="185" spans="2:2" x14ac:dyDescent="0.25">
      <c r="B185" s="7" t="s">
        <v>234</v>
      </c>
    </row>
    <row r="186" spans="2:2" x14ac:dyDescent="0.25">
      <c r="B186" s="7" t="s">
        <v>235</v>
      </c>
    </row>
    <row r="187" spans="2:2" x14ac:dyDescent="0.25">
      <c r="B187" s="7" t="s">
        <v>236</v>
      </c>
    </row>
    <row r="188" spans="2:2" x14ac:dyDescent="0.25">
      <c r="B188" s="7" t="s">
        <v>237</v>
      </c>
    </row>
    <row r="189" spans="2:2" x14ac:dyDescent="0.25">
      <c r="B189" s="7" t="s">
        <v>238</v>
      </c>
    </row>
    <row r="190" spans="2:2" x14ac:dyDescent="0.25">
      <c r="B190" s="7" t="s">
        <v>239</v>
      </c>
    </row>
    <row r="191" spans="2:2" x14ac:dyDescent="0.25">
      <c r="B191" s="7" t="s">
        <v>240</v>
      </c>
    </row>
    <row r="192" spans="2:2" x14ac:dyDescent="0.25">
      <c r="B192" s="7" t="s">
        <v>241</v>
      </c>
    </row>
    <row r="193" spans="2:2" x14ac:dyDescent="0.25">
      <c r="B193" s="7" t="s">
        <v>242</v>
      </c>
    </row>
    <row r="194" spans="2:2" x14ac:dyDescent="0.25">
      <c r="B194" s="7" t="s">
        <v>243</v>
      </c>
    </row>
    <row r="195" spans="2:2" x14ac:dyDescent="0.25">
      <c r="B195" s="7" t="s">
        <v>244</v>
      </c>
    </row>
    <row r="196" spans="2:2" x14ac:dyDescent="0.25">
      <c r="B196" s="7" t="s">
        <v>245</v>
      </c>
    </row>
    <row r="197" spans="2:2" x14ac:dyDescent="0.25">
      <c r="B197" s="7" t="s">
        <v>246</v>
      </c>
    </row>
    <row r="198" spans="2:2" x14ac:dyDescent="0.25">
      <c r="B198" s="7" t="s">
        <v>247</v>
      </c>
    </row>
    <row r="199" spans="2:2" x14ac:dyDescent="0.25">
      <c r="B199" s="7" t="s">
        <v>248</v>
      </c>
    </row>
    <row r="200" spans="2:2" x14ac:dyDescent="0.25">
      <c r="B200" s="7" t="s">
        <v>249</v>
      </c>
    </row>
    <row r="201" spans="2:2" x14ac:dyDescent="0.25">
      <c r="B201" s="7" t="s">
        <v>250</v>
      </c>
    </row>
    <row r="202" spans="2:2" x14ac:dyDescent="0.25">
      <c r="B202" s="7" t="s">
        <v>251</v>
      </c>
    </row>
    <row r="203" spans="2:2" x14ac:dyDescent="0.25">
      <c r="B203" s="7" t="s">
        <v>252</v>
      </c>
    </row>
    <row r="204" spans="2:2" x14ac:dyDescent="0.25">
      <c r="B204" s="7" t="s">
        <v>253</v>
      </c>
    </row>
    <row r="205" spans="2:2" x14ac:dyDescent="0.25">
      <c r="B205" s="7" t="s">
        <v>254</v>
      </c>
    </row>
    <row r="206" spans="2:2" x14ac:dyDescent="0.25">
      <c r="B206" s="7" t="s">
        <v>255</v>
      </c>
    </row>
    <row r="207" spans="2:2" x14ac:dyDescent="0.25">
      <c r="B207" s="7" t="s">
        <v>256</v>
      </c>
    </row>
    <row r="208" spans="2:2" x14ac:dyDescent="0.25">
      <c r="B208" s="7" t="s">
        <v>257</v>
      </c>
    </row>
    <row r="209" spans="2:2" x14ac:dyDescent="0.25">
      <c r="B209" s="7" t="s">
        <v>258</v>
      </c>
    </row>
    <row r="210" spans="2:2" x14ac:dyDescent="0.25">
      <c r="B210" s="7" t="s">
        <v>259</v>
      </c>
    </row>
    <row r="211" spans="2:2" x14ac:dyDescent="0.25">
      <c r="B211" s="7" t="s">
        <v>260</v>
      </c>
    </row>
    <row r="212" spans="2:2" x14ac:dyDescent="0.25">
      <c r="B212" s="7" t="s">
        <v>261</v>
      </c>
    </row>
    <row r="213" spans="2:2" x14ac:dyDescent="0.25">
      <c r="B213" s="7" t="s">
        <v>262</v>
      </c>
    </row>
    <row r="214" spans="2:2" x14ac:dyDescent="0.25">
      <c r="B214" s="7" t="s">
        <v>263</v>
      </c>
    </row>
    <row r="215" spans="2:2" x14ac:dyDescent="0.25">
      <c r="B215" s="7" t="s">
        <v>264</v>
      </c>
    </row>
    <row r="216" spans="2:2" x14ac:dyDescent="0.25">
      <c r="B216" s="7" t="s">
        <v>265</v>
      </c>
    </row>
    <row r="217" spans="2:2" x14ac:dyDescent="0.25">
      <c r="B217" s="7" t="s">
        <v>266</v>
      </c>
    </row>
    <row r="218" spans="2:2" x14ac:dyDescent="0.25">
      <c r="B218" s="7" t="s">
        <v>267</v>
      </c>
    </row>
    <row r="219" spans="2:2" x14ac:dyDescent="0.25">
      <c r="B219" s="7" t="s">
        <v>268</v>
      </c>
    </row>
    <row r="220" spans="2:2" x14ac:dyDescent="0.25">
      <c r="B220" s="7" t="s">
        <v>269</v>
      </c>
    </row>
    <row r="221" spans="2:2" x14ac:dyDescent="0.25">
      <c r="B221" s="7" t="s">
        <v>270</v>
      </c>
    </row>
    <row r="222" spans="2:2" x14ac:dyDescent="0.25">
      <c r="B222" s="7" t="s">
        <v>271</v>
      </c>
    </row>
    <row r="223" spans="2:2" x14ac:dyDescent="0.25">
      <c r="B223" s="7" t="s">
        <v>272</v>
      </c>
    </row>
    <row r="224" spans="2:2" x14ac:dyDescent="0.25">
      <c r="B224" s="7" t="s">
        <v>273</v>
      </c>
    </row>
    <row r="225" spans="2:2" x14ac:dyDescent="0.25">
      <c r="B225" s="7" t="s">
        <v>274</v>
      </c>
    </row>
    <row r="226" spans="2:2" x14ac:dyDescent="0.25">
      <c r="B226" s="7" t="s">
        <v>275</v>
      </c>
    </row>
    <row r="227" spans="2:2" x14ac:dyDescent="0.25">
      <c r="B227" s="7" t="s">
        <v>276</v>
      </c>
    </row>
    <row r="228" spans="2:2" x14ac:dyDescent="0.25">
      <c r="B228" s="7" t="s">
        <v>277</v>
      </c>
    </row>
    <row r="229" spans="2:2" x14ac:dyDescent="0.25">
      <c r="B229" s="7" t="s">
        <v>278</v>
      </c>
    </row>
    <row r="230" spans="2:2" x14ac:dyDescent="0.25">
      <c r="B230" s="7" t="s">
        <v>279</v>
      </c>
    </row>
    <row r="231" spans="2:2" x14ac:dyDescent="0.25">
      <c r="B231" s="7" t="s">
        <v>280</v>
      </c>
    </row>
    <row r="232" spans="2:2" x14ac:dyDescent="0.25">
      <c r="B232" s="7" t="s">
        <v>281</v>
      </c>
    </row>
    <row r="233" spans="2:2" x14ac:dyDescent="0.25">
      <c r="B233" s="7" t="s">
        <v>282</v>
      </c>
    </row>
    <row r="234" spans="2:2" x14ac:dyDescent="0.25">
      <c r="B234" s="7" t="s">
        <v>283</v>
      </c>
    </row>
    <row r="235" spans="2:2" x14ac:dyDescent="0.25">
      <c r="B235" s="7" t="s">
        <v>284</v>
      </c>
    </row>
    <row r="236" spans="2:2" x14ac:dyDescent="0.25">
      <c r="B236" s="7" t="s">
        <v>285</v>
      </c>
    </row>
    <row r="237" spans="2:2" x14ac:dyDescent="0.25">
      <c r="B237" s="7" t="s">
        <v>286</v>
      </c>
    </row>
    <row r="238" spans="2:2" x14ac:dyDescent="0.25">
      <c r="B238" s="7" t="s">
        <v>287</v>
      </c>
    </row>
    <row r="239" spans="2:2" x14ac:dyDescent="0.25">
      <c r="B239" s="7" t="s">
        <v>288</v>
      </c>
    </row>
    <row r="240" spans="2:2" x14ac:dyDescent="0.25">
      <c r="B240" s="7" t="s">
        <v>289</v>
      </c>
    </row>
    <row r="241" spans="2:2" x14ac:dyDescent="0.25">
      <c r="B241" s="7" t="s">
        <v>290</v>
      </c>
    </row>
    <row r="242" spans="2:2" x14ac:dyDescent="0.25">
      <c r="B242" s="7" t="s">
        <v>291</v>
      </c>
    </row>
    <row r="243" spans="2:2" x14ac:dyDescent="0.25">
      <c r="B243" s="7" t="s">
        <v>292</v>
      </c>
    </row>
    <row r="244" spans="2:2" x14ac:dyDescent="0.25">
      <c r="B244" s="7" t="s">
        <v>293</v>
      </c>
    </row>
    <row r="245" spans="2:2" x14ac:dyDescent="0.25">
      <c r="B245" s="7" t="s">
        <v>294</v>
      </c>
    </row>
    <row r="246" spans="2:2" x14ac:dyDescent="0.25">
      <c r="B246" s="7" t="s">
        <v>295</v>
      </c>
    </row>
    <row r="247" spans="2:2" x14ac:dyDescent="0.25">
      <c r="B247" s="7" t="s">
        <v>296</v>
      </c>
    </row>
    <row r="248" spans="2:2" x14ac:dyDescent="0.25">
      <c r="B248" s="7" t="s">
        <v>297</v>
      </c>
    </row>
    <row r="249" spans="2:2" x14ac:dyDescent="0.25">
      <c r="B249" s="7" t="s">
        <v>298</v>
      </c>
    </row>
    <row r="250" spans="2:2" x14ac:dyDescent="0.25">
      <c r="B250" s="7" t="s">
        <v>299</v>
      </c>
    </row>
    <row r="251" spans="2:2" x14ac:dyDescent="0.25">
      <c r="B251" s="7" t="s">
        <v>300</v>
      </c>
    </row>
    <row r="252" spans="2:2" x14ac:dyDescent="0.25">
      <c r="B252" s="7" t="s">
        <v>301</v>
      </c>
    </row>
    <row r="253" spans="2:2" x14ac:dyDescent="0.25">
      <c r="B253" s="7" t="s">
        <v>302</v>
      </c>
    </row>
    <row r="254" spans="2:2" x14ac:dyDescent="0.25">
      <c r="B254" s="7" t="s">
        <v>303</v>
      </c>
    </row>
    <row r="255" spans="2:2" x14ac:dyDescent="0.25">
      <c r="B255" s="7" t="s">
        <v>304</v>
      </c>
    </row>
    <row r="256" spans="2:2" x14ac:dyDescent="0.25">
      <c r="B256" s="7" t="s">
        <v>305</v>
      </c>
    </row>
    <row r="257" spans="2:2" x14ac:dyDescent="0.25">
      <c r="B257" s="7" t="s">
        <v>306</v>
      </c>
    </row>
    <row r="258" spans="2:2" x14ac:dyDescent="0.25">
      <c r="B258" s="7" t="s">
        <v>307</v>
      </c>
    </row>
    <row r="259" spans="2:2" x14ac:dyDescent="0.25">
      <c r="B259" s="7" t="s">
        <v>308</v>
      </c>
    </row>
    <row r="260" spans="2:2" x14ac:dyDescent="0.25">
      <c r="B260" s="7" t="s">
        <v>309</v>
      </c>
    </row>
    <row r="261" spans="2:2" x14ac:dyDescent="0.25">
      <c r="B261" s="7" t="s">
        <v>310</v>
      </c>
    </row>
    <row r="262" spans="2:2" x14ac:dyDescent="0.25">
      <c r="B262" s="7" t="s">
        <v>311</v>
      </c>
    </row>
    <row r="263" spans="2:2" x14ac:dyDescent="0.25">
      <c r="B263" s="7" t="s">
        <v>312</v>
      </c>
    </row>
    <row r="264" spans="2:2" x14ac:dyDescent="0.25">
      <c r="B264" s="7" t="s">
        <v>313</v>
      </c>
    </row>
    <row r="265" spans="2:2" x14ac:dyDescent="0.25">
      <c r="B265" s="7" t="s">
        <v>314</v>
      </c>
    </row>
    <row r="266" spans="2:2" x14ac:dyDescent="0.25">
      <c r="B266" s="7" t="s">
        <v>315</v>
      </c>
    </row>
    <row r="267" spans="2:2" x14ac:dyDescent="0.25">
      <c r="B267" s="7" t="s">
        <v>316</v>
      </c>
    </row>
    <row r="268" spans="2:2" x14ac:dyDescent="0.25">
      <c r="B268" s="7" t="s">
        <v>317</v>
      </c>
    </row>
    <row r="269" spans="2:2" x14ac:dyDescent="0.25">
      <c r="B269" s="7" t="s">
        <v>318</v>
      </c>
    </row>
    <row r="270" spans="2:2" x14ac:dyDescent="0.25">
      <c r="B270" s="7" t="s">
        <v>319</v>
      </c>
    </row>
    <row r="271" spans="2:2" x14ac:dyDescent="0.25">
      <c r="B271" s="7" t="s">
        <v>320</v>
      </c>
    </row>
    <row r="272" spans="2:2" x14ac:dyDescent="0.25">
      <c r="B272" s="7" t="s">
        <v>321</v>
      </c>
    </row>
    <row r="273" spans="2:2" x14ac:dyDescent="0.25">
      <c r="B273" s="7" t="s">
        <v>322</v>
      </c>
    </row>
    <row r="274" spans="2:2" x14ac:dyDescent="0.25">
      <c r="B274" s="7" t="s">
        <v>323</v>
      </c>
    </row>
    <row r="275" spans="2:2" x14ac:dyDescent="0.25">
      <c r="B275" s="7" t="s">
        <v>324</v>
      </c>
    </row>
    <row r="276" spans="2:2" x14ac:dyDescent="0.25">
      <c r="B276" s="7" t="s">
        <v>325</v>
      </c>
    </row>
    <row r="277" spans="2:2" x14ac:dyDescent="0.25">
      <c r="B277" s="7" t="s">
        <v>326</v>
      </c>
    </row>
    <row r="278" spans="2:2" x14ac:dyDescent="0.25">
      <c r="B278" s="7" t="s">
        <v>327</v>
      </c>
    </row>
    <row r="279" spans="2:2" x14ac:dyDescent="0.25">
      <c r="B279" s="7" t="s">
        <v>328</v>
      </c>
    </row>
    <row r="280" spans="2:2" x14ac:dyDescent="0.25">
      <c r="B280" s="7" t="s">
        <v>329</v>
      </c>
    </row>
    <row r="281" spans="2:2" x14ac:dyDescent="0.25">
      <c r="B281" s="7" t="s">
        <v>330</v>
      </c>
    </row>
    <row r="282" spans="2:2" x14ac:dyDescent="0.25">
      <c r="B282" s="7" t="s">
        <v>331</v>
      </c>
    </row>
    <row r="283" spans="2:2" x14ac:dyDescent="0.25">
      <c r="B283" s="7" t="s">
        <v>332</v>
      </c>
    </row>
    <row r="284" spans="2:2" x14ac:dyDescent="0.25">
      <c r="B284" s="7" t="s">
        <v>333</v>
      </c>
    </row>
    <row r="285" spans="2:2" x14ac:dyDescent="0.25">
      <c r="B285" s="7" t="s">
        <v>334</v>
      </c>
    </row>
    <row r="286" spans="2:2" x14ac:dyDescent="0.25">
      <c r="B286" s="7" t="s">
        <v>335</v>
      </c>
    </row>
    <row r="287" spans="2:2" x14ac:dyDescent="0.25">
      <c r="B287" s="7" t="s">
        <v>336</v>
      </c>
    </row>
    <row r="288" spans="2:2" x14ac:dyDescent="0.25">
      <c r="B288" s="7" t="s">
        <v>337</v>
      </c>
    </row>
    <row r="289" spans="2:2" x14ac:dyDescent="0.25">
      <c r="B289" s="7" t="s">
        <v>338</v>
      </c>
    </row>
    <row r="290" spans="2:2" x14ac:dyDescent="0.25">
      <c r="B290" s="7" t="s">
        <v>339</v>
      </c>
    </row>
    <row r="291" spans="2:2" x14ac:dyDescent="0.25">
      <c r="B291" s="7" t="s">
        <v>340</v>
      </c>
    </row>
    <row r="292" spans="2:2" x14ac:dyDescent="0.25">
      <c r="B292" s="7" t="s">
        <v>341</v>
      </c>
    </row>
    <row r="293" spans="2:2" x14ac:dyDescent="0.25">
      <c r="B293" s="7" t="s">
        <v>342</v>
      </c>
    </row>
    <row r="294" spans="2:2" x14ac:dyDescent="0.25">
      <c r="B294" s="7" t="s">
        <v>343</v>
      </c>
    </row>
    <row r="295" spans="2:2" x14ac:dyDescent="0.25">
      <c r="B295" s="7" t="s">
        <v>344</v>
      </c>
    </row>
    <row r="296" spans="2:2" x14ac:dyDescent="0.25">
      <c r="B296" s="7" t="s">
        <v>345</v>
      </c>
    </row>
    <row r="297" spans="2:2" x14ac:dyDescent="0.25">
      <c r="B297" s="7" t="s">
        <v>346</v>
      </c>
    </row>
    <row r="298" spans="2:2" x14ac:dyDescent="0.25">
      <c r="B298" s="7" t="s">
        <v>347</v>
      </c>
    </row>
    <row r="299" spans="2:2" x14ac:dyDescent="0.25">
      <c r="B299" s="7" t="s">
        <v>348</v>
      </c>
    </row>
    <row r="300" spans="2:2" x14ac:dyDescent="0.25">
      <c r="B300" s="7" t="s">
        <v>349</v>
      </c>
    </row>
    <row r="301" spans="2:2" x14ac:dyDescent="0.25">
      <c r="B301" s="7" t="s">
        <v>350</v>
      </c>
    </row>
    <row r="302" spans="2:2" x14ac:dyDescent="0.25">
      <c r="B302" s="7" t="s">
        <v>351</v>
      </c>
    </row>
    <row r="303" spans="2:2" x14ac:dyDescent="0.25">
      <c r="B303" s="7" t="s">
        <v>352</v>
      </c>
    </row>
    <row r="304" spans="2:2" x14ac:dyDescent="0.25">
      <c r="B304" s="7" t="s">
        <v>353</v>
      </c>
    </row>
    <row r="305" spans="2:2" x14ac:dyDescent="0.25">
      <c r="B305" s="7" t="s">
        <v>354</v>
      </c>
    </row>
    <row r="306" spans="2:2" x14ac:dyDescent="0.25">
      <c r="B306" s="7" t="s">
        <v>353</v>
      </c>
    </row>
    <row r="307" spans="2:2" x14ac:dyDescent="0.25">
      <c r="B307" s="7" t="s">
        <v>355</v>
      </c>
    </row>
    <row r="308" spans="2:2" x14ac:dyDescent="0.25">
      <c r="B308" s="7" t="s">
        <v>356</v>
      </c>
    </row>
    <row r="309" spans="2:2" x14ac:dyDescent="0.25">
      <c r="B309" s="7" t="s">
        <v>357</v>
      </c>
    </row>
    <row r="310" spans="2:2" x14ac:dyDescent="0.25">
      <c r="B310" s="7" t="s">
        <v>358</v>
      </c>
    </row>
    <row r="311" spans="2:2" x14ac:dyDescent="0.25">
      <c r="B311" s="7" t="s">
        <v>359</v>
      </c>
    </row>
    <row r="312" spans="2:2" x14ac:dyDescent="0.25">
      <c r="B312" s="7" t="s">
        <v>360</v>
      </c>
    </row>
    <row r="313" spans="2:2" x14ac:dyDescent="0.25">
      <c r="B313" s="7" t="s">
        <v>361</v>
      </c>
    </row>
    <row r="314" spans="2:2" x14ac:dyDescent="0.25">
      <c r="B314" s="7" t="s">
        <v>362</v>
      </c>
    </row>
    <row r="315" spans="2:2" x14ac:dyDescent="0.25">
      <c r="B315" s="7" t="s">
        <v>363</v>
      </c>
    </row>
    <row r="316" spans="2:2" x14ac:dyDescent="0.25">
      <c r="B316" s="7" t="s">
        <v>364</v>
      </c>
    </row>
    <row r="317" spans="2:2" x14ac:dyDescent="0.25">
      <c r="B317" s="7" t="s">
        <v>365</v>
      </c>
    </row>
    <row r="318" spans="2:2" x14ac:dyDescent="0.25">
      <c r="B318" s="7" t="s">
        <v>366</v>
      </c>
    </row>
    <row r="319" spans="2:2" x14ac:dyDescent="0.25">
      <c r="B319" s="7" t="s">
        <v>367</v>
      </c>
    </row>
    <row r="320" spans="2:2" x14ac:dyDescent="0.25">
      <c r="B320" s="7" t="s">
        <v>368</v>
      </c>
    </row>
    <row r="321" spans="2:2" x14ac:dyDescent="0.25">
      <c r="B321" s="7" t="s">
        <v>369</v>
      </c>
    </row>
    <row r="322" spans="2:2" x14ac:dyDescent="0.25">
      <c r="B322" s="7" t="s">
        <v>370</v>
      </c>
    </row>
    <row r="323" spans="2:2" x14ac:dyDescent="0.25">
      <c r="B323" s="7" t="s">
        <v>371</v>
      </c>
    </row>
    <row r="324" spans="2:2" x14ac:dyDescent="0.25">
      <c r="B324" s="7" t="s">
        <v>372</v>
      </c>
    </row>
    <row r="325" spans="2:2" x14ac:dyDescent="0.25">
      <c r="B325" s="7" t="s">
        <v>373</v>
      </c>
    </row>
    <row r="326" spans="2:2" x14ac:dyDescent="0.25">
      <c r="B326" s="7" t="s">
        <v>374</v>
      </c>
    </row>
    <row r="327" spans="2:2" x14ac:dyDescent="0.25">
      <c r="B327" s="7" t="s">
        <v>375</v>
      </c>
    </row>
    <row r="328" spans="2:2" x14ac:dyDescent="0.25">
      <c r="B328" s="7" t="s">
        <v>376</v>
      </c>
    </row>
    <row r="329" spans="2:2" x14ac:dyDescent="0.25">
      <c r="B329" s="7" t="s">
        <v>377</v>
      </c>
    </row>
    <row r="330" spans="2:2" x14ac:dyDescent="0.25">
      <c r="B330" s="7" t="s">
        <v>378</v>
      </c>
    </row>
    <row r="331" spans="2:2" x14ac:dyDescent="0.25">
      <c r="B331" s="7" t="s">
        <v>379</v>
      </c>
    </row>
    <row r="332" spans="2:2" x14ac:dyDescent="0.25">
      <c r="B332" s="7" t="s">
        <v>380</v>
      </c>
    </row>
    <row r="333" spans="2:2" x14ac:dyDescent="0.25">
      <c r="B333" s="7" t="s">
        <v>381</v>
      </c>
    </row>
    <row r="334" spans="2:2" x14ac:dyDescent="0.25">
      <c r="B334" s="7" t="s">
        <v>382</v>
      </c>
    </row>
    <row r="335" spans="2:2" x14ac:dyDescent="0.25">
      <c r="B335" s="7" t="s">
        <v>383</v>
      </c>
    </row>
    <row r="336" spans="2:2" x14ac:dyDescent="0.25">
      <c r="B336" s="7" t="s">
        <v>384</v>
      </c>
    </row>
    <row r="337" spans="2:2" x14ac:dyDescent="0.25">
      <c r="B337" s="7" t="s">
        <v>385</v>
      </c>
    </row>
    <row r="338" spans="2:2" x14ac:dyDescent="0.25">
      <c r="B338" s="7" t="s">
        <v>386</v>
      </c>
    </row>
    <row r="339" spans="2:2" x14ac:dyDescent="0.25">
      <c r="B339" s="7" t="s">
        <v>387</v>
      </c>
    </row>
    <row r="340" spans="2:2" x14ac:dyDescent="0.25">
      <c r="B340" s="7" t="s">
        <v>388</v>
      </c>
    </row>
    <row r="341" spans="2:2" x14ac:dyDescent="0.25">
      <c r="B341" s="7" t="s">
        <v>389</v>
      </c>
    </row>
    <row r="342" spans="2:2" x14ac:dyDescent="0.25">
      <c r="B342" s="7" t="s">
        <v>390</v>
      </c>
    </row>
    <row r="343" spans="2:2" x14ac:dyDescent="0.25">
      <c r="B343" s="7" t="s">
        <v>391</v>
      </c>
    </row>
    <row r="344" spans="2:2" x14ac:dyDescent="0.25">
      <c r="B344" s="7" t="s">
        <v>392</v>
      </c>
    </row>
    <row r="345" spans="2:2" x14ac:dyDescent="0.25">
      <c r="B345" s="7" t="s">
        <v>393</v>
      </c>
    </row>
    <row r="346" spans="2:2" x14ac:dyDescent="0.25">
      <c r="B346" s="7" t="s">
        <v>394</v>
      </c>
    </row>
    <row r="347" spans="2:2" x14ac:dyDescent="0.25">
      <c r="B347" s="7" t="s">
        <v>395</v>
      </c>
    </row>
    <row r="348" spans="2:2" x14ac:dyDescent="0.25">
      <c r="B348" s="7" t="s">
        <v>396</v>
      </c>
    </row>
    <row r="349" spans="2:2" x14ac:dyDescent="0.25">
      <c r="B349" s="7" t="s">
        <v>397</v>
      </c>
    </row>
    <row r="350" spans="2:2" x14ac:dyDescent="0.25">
      <c r="B350" s="7" t="s">
        <v>398</v>
      </c>
    </row>
    <row r="351" spans="2:2" x14ac:dyDescent="0.25">
      <c r="B351" s="7" t="s">
        <v>399</v>
      </c>
    </row>
    <row r="352" spans="2:2" x14ac:dyDescent="0.25">
      <c r="B352" s="7" t="s">
        <v>400</v>
      </c>
    </row>
    <row r="353" spans="2:2" x14ac:dyDescent="0.25">
      <c r="B353" s="7" t="s">
        <v>401</v>
      </c>
    </row>
    <row r="354" spans="2:2" x14ac:dyDescent="0.25">
      <c r="B354" s="7" t="s">
        <v>402</v>
      </c>
    </row>
    <row r="355" spans="2:2" x14ac:dyDescent="0.25">
      <c r="B355" s="7" t="s">
        <v>403</v>
      </c>
    </row>
    <row r="356" spans="2:2" x14ac:dyDescent="0.25">
      <c r="B356" s="7" t="s">
        <v>404</v>
      </c>
    </row>
    <row r="357" spans="2:2" x14ac:dyDescent="0.25">
      <c r="B357" s="7" t="s">
        <v>405</v>
      </c>
    </row>
    <row r="358" spans="2:2" x14ac:dyDescent="0.25">
      <c r="B358" s="7" t="s">
        <v>406</v>
      </c>
    </row>
    <row r="359" spans="2:2" x14ac:dyDescent="0.25">
      <c r="B359" s="7" t="s">
        <v>407</v>
      </c>
    </row>
    <row r="360" spans="2:2" x14ac:dyDescent="0.25">
      <c r="B360" s="7" t="s">
        <v>408</v>
      </c>
    </row>
    <row r="361" spans="2:2" x14ac:dyDescent="0.25">
      <c r="B361" s="7" t="s">
        <v>409</v>
      </c>
    </row>
    <row r="362" spans="2:2" x14ac:dyDescent="0.25">
      <c r="B362" s="7" t="s">
        <v>410</v>
      </c>
    </row>
    <row r="363" spans="2:2" x14ac:dyDescent="0.25">
      <c r="B363" s="7" t="s">
        <v>411</v>
      </c>
    </row>
    <row r="364" spans="2:2" x14ac:dyDescent="0.25">
      <c r="B364" s="7" t="s">
        <v>412</v>
      </c>
    </row>
    <row r="365" spans="2:2" x14ac:dyDescent="0.25">
      <c r="B365" s="7" t="s">
        <v>413</v>
      </c>
    </row>
    <row r="366" spans="2:2" x14ac:dyDescent="0.25">
      <c r="B366" s="7" t="s">
        <v>414</v>
      </c>
    </row>
    <row r="367" spans="2:2" x14ac:dyDescent="0.25">
      <c r="B367" s="7" t="s">
        <v>415</v>
      </c>
    </row>
    <row r="368" spans="2:2" x14ac:dyDescent="0.25">
      <c r="B368" s="7" t="s">
        <v>416</v>
      </c>
    </row>
    <row r="369" spans="2:2" x14ac:dyDescent="0.25">
      <c r="B369" s="7" t="s">
        <v>417</v>
      </c>
    </row>
    <row r="370" spans="2:2" x14ac:dyDescent="0.25">
      <c r="B370" s="7" t="s">
        <v>418</v>
      </c>
    </row>
    <row r="371" spans="2:2" x14ac:dyDescent="0.25">
      <c r="B371" s="7" t="s">
        <v>419</v>
      </c>
    </row>
    <row r="372" spans="2:2" x14ac:dyDescent="0.25">
      <c r="B372" s="7" t="s">
        <v>420</v>
      </c>
    </row>
    <row r="373" spans="2:2" x14ac:dyDescent="0.25">
      <c r="B373" s="7" t="s">
        <v>421</v>
      </c>
    </row>
    <row r="374" spans="2:2" x14ac:dyDescent="0.25">
      <c r="B374" s="7" t="s">
        <v>422</v>
      </c>
    </row>
    <row r="375" spans="2:2" x14ac:dyDescent="0.25">
      <c r="B375" s="7" t="s">
        <v>423</v>
      </c>
    </row>
    <row r="376" spans="2:2" x14ac:dyDescent="0.25">
      <c r="B376" s="7" t="s">
        <v>424</v>
      </c>
    </row>
    <row r="377" spans="2:2" x14ac:dyDescent="0.25">
      <c r="B377" s="7" t="s">
        <v>425</v>
      </c>
    </row>
    <row r="378" spans="2:2" x14ac:dyDescent="0.25">
      <c r="B378" s="7" t="s">
        <v>426</v>
      </c>
    </row>
    <row r="379" spans="2:2" x14ac:dyDescent="0.25">
      <c r="B379" s="7" t="s">
        <v>427</v>
      </c>
    </row>
    <row r="380" spans="2:2" x14ac:dyDescent="0.25">
      <c r="B380" s="7" t="s">
        <v>428</v>
      </c>
    </row>
    <row r="381" spans="2:2" x14ac:dyDescent="0.25">
      <c r="B381" s="7" t="s">
        <v>429</v>
      </c>
    </row>
    <row r="382" spans="2:2" x14ac:dyDescent="0.25">
      <c r="B382" s="7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Molyneux</dc:creator>
  <cp:lastModifiedBy>Luke Molyneux</cp:lastModifiedBy>
  <dcterms:created xsi:type="dcterms:W3CDTF">2024-11-28T14:14:26Z</dcterms:created>
  <dcterms:modified xsi:type="dcterms:W3CDTF">2024-11-28T16:05:38Z</dcterms:modified>
</cp:coreProperties>
</file>